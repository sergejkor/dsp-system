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serge\Downloads\"/>
    </mc:Choice>
  </mc:AlternateContent>
  <xr:revisionPtr revIDLastSave="0" documentId="13_ncr:1_{DBE67713-F389-4484-A4E1-18DAB05D7BE5}" xr6:coauthVersionLast="47" xr6:coauthVersionMax="47" xr10:uidLastSave="{00000000-0000-0000-0000-000000000000}"/>
  <bookViews>
    <workbookView xWindow="28680" yWindow="-120" windowWidth="29040" windowHeight="15720" xr2:uid="{00000000-000D-0000-FFFF-FFFF00000000}"/>
  </bookViews>
  <sheets>
    <sheet name="Unfall Tracking" sheetId="5" r:id="rId1"/>
  </sheets>
  <definedNames>
    <definedName name="_xlnm._FilterDatabase" localSheetId="0" hidden="1">'Unfall Tracking'!$N$1:$N$83</definedName>
    <definedName name="_xlnm.Print_Area" localSheetId="0">'Unfall Tracking'!$C$1:$D$13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9" i="5" l="1"/>
  <c r="P79" i="5" s="1"/>
  <c r="O76" i="5"/>
  <c r="P76" i="5" s="1"/>
  <c r="O77" i="5"/>
  <c r="P77" i="5" s="1"/>
  <c r="O78" i="5"/>
  <c r="P78" i="5" s="1"/>
  <c r="O75" i="5"/>
  <c r="P75" i="5" s="1"/>
  <c r="O74" i="5"/>
  <c r="P74" i="5" s="1"/>
  <c r="O72" i="5"/>
  <c r="P72" i="5" s="1"/>
  <c r="O71" i="5"/>
  <c r="P71" i="5" s="1"/>
  <c r="O73" i="5"/>
  <c r="P73" i="5" s="1"/>
  <c r="O70" i="5"/>
  <c r="P70" i="5" s="1"/>
  <c r="O69" i="5"/>
  <c r="P69" i="5" s="1"/>
  <c r="O68" i="5"/>
  <c r="P68" i="5" s="1"/>
  <c r="P64" i="5"/>
  <c r="P33" i="5"/>
  <c r="O65" i="5"/>
  <c r="P65" i="5" s="1"/>
  <c r="O63" i="5"/>
  <c r="P63" i="5" s="1"/>
  <c r="O62" i="5"/>
  <c r="P62" i="5" s="1"/>
  <c r="O61" i="5"/>
  <c r="P61" i="5" s="1"/>
  <c r="O60" i="5"/>
  <c r="P60" i="5" s="1"/>
  <c r="O59" i="5"/>
  <c r="P59" i="5" s="1"/>
  <c r="O58" i="5"/>
  <c r="P58" i="5" s="1"/>
  <c r="O57" i="5"/>
  <c r="P57" i="5" s="1"/>
  <c r="O56" i="5"/>
  <c r="P56" i="5" s="1"/>
  <c r="O55" i="5"/>
  <c r="P55" i="5" s="1"/>
  <c r="O54" i="5"/>
  <c r="P54" i="5" s="1"/>
  <c r="O53" i="5"/>
  <c r="O52" i="5"/>
  <c r="P52" i="5" s="1"/>
  <c r="O51" i="5"/>
  <c r="P51" i="5" s="1"/>
  <c r="O50" i="5"/>
  <c r="P50" i="5" s="1"/>
  <c r="O49" i="5"/>
  <c r="P49" i="5" s="1"/>
  <c r="O48" i="5"/>
  <c r="P48" i="5" s="1"/>
  <c r="O47" i="5"/>
  <c r="P47" i="5" s="1"/>
  <c r="O46" i="5"/>
  <c r="P46" i="5" s="1"/>
  <c r="O45" i="5"/>
  <c r="P45" i="5" s="1"/>
  <c r="O44" i="5"/>
  <c r="P44" i="5" s="1"/>
  <c r="O43" i="5"/>
  <c r="P43" i="5" s="1"/>
  <c r="O41" i="5"/>
  <c r="P41" i="5" s="1"/>
  <c r="O40" i="5"/>
  <c r="P40" i="5" s="1"/>
  <c r="O39" i="5"/>
  <c r="P39" i="5" s="1"/>
  <c r="O38" i="5"/>
  <c r="P38" i="5" s="1"/>
  <c r="O37" i="5"/>
  <c r="P37" i="5" s="1"/>
  <c r="O36" i="5"/>
  <c r="P36" i="5" s="1"/>
  <c r="O35" i="5"/>
  <c r="P35" i="5" s="1"/>
  <c r="O34" i="5"/>
  <c r="P34" i="5" s="1"/>
  <c r="O67" i="5"/>
  <c r="P67" i="5" s="1"/>
  <c r="O32" i="5"/>
  <c r="P32" i="5" s="1"/>
  <c r="O31" i="5"/>
  <c r="P31" i="5" s="1"/>
  <c r="O29" i="5"/>
  <c r="P29" i="5" s="1"/>
  <c r="O30" i="5"/>
  <c r="P30" i="5" s="1"/>
  <c r="O28" i="5"/>
  <c r="P28" i="5" s="1"/>
  <c r="O27" i="5"/>
  <c r="P27" i="5" s="1"/>
  <c r="O23" i="5"/>
  <c r="P23" i="5" s="1"/>
  <c r="O22" i="5"/>
  <c r="P22" i="5" s="1"/>
  <c r="O26" i="5"/>
  <c r="O16" i="5"/>
  <c r="O24" i="5"/>
  <c r="P24" i="5" s="1"/>
  <c r="O25" i="5"/>
  <c r="P25" i="5" s="1"/>
  <c r="O11" i="5"/>
  <c r="O8" i="5"/>
  <c r="P8" i="5" s="1"/>
  <c r="O2" i="5"/>
  <c r="P2" i="5" s="1"/>
  <c r="O4" i="5"/>
  <c r="P4" i="5" s="1"/>
  <c r="O17" i="5"/>
  <c r="P17" i="5" s="1"/>
  <c r="O18" i="5"/>
  <c r="O20" i="5"/>
  <c r="O21" i="5"/>
  <c r="P21" i="5" s="1"/>
  <c r="O5" i="5"/>
  <c r="O7" i="5"/>
  <c r="P7" i="5" s="1"/>
  <c r="O9" i="5"/>
  <c r="O10" i="5"/>
  <c r="P10" i="5" s="1"/>
  <c r="O12" i="5"/>
  <c r="O13" i="5"/>
  <c r="O14" i="5"/>
  <c r="O15" i="5"/>
  <c r="O3" i="5"/>
  <c r="L1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tc={2207821F-7700-42EB-81D7-BACC9541AF2E}</author>
    <author>tc={B10EB24C-DB3A-43DD-9EC3-9A1F4B389674}</author>
    <author>tc={616589BE-4DDA-44F8-8C7D-1F8CF87343EE}</author>
  </authors>
  <commentList>
    <comment ref="D15" authorId="0" shapeId="0" xr:uid="{2207821F-7700-42EB-81D7-BACC9541AF2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Schaden wurde gemeldet </t>
      </text>
    </comment>
    <comment ref="L15" authorId="1" shapeId="0" xr:uid="{B10EB24C-DB3A-43DD-9EC3-9A1F4B38967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Anfallenden Kosten von Mercedes wegen Bearbeitung
</t>
      </text>
    </comment>
    <comment ref="D21" authorId="2" shapeId="0" xr:uid="{616589BE-4DDA-44F8-8C7D-1F8CF87343E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Da uns kein Schaden gemeldet wurde haben wir keine Schadensmeldung gemacht </t>
      </text>
    </comment>
  </commentList>
</comments>
</file>

<file path=xl/sharedStrings.xml><?xml version="1.0" encoding="utf-8"?>
<sst xmlns="http://schemas.openxmlformats.org/spreadsheetml/2006/main" count="520" uniqueCount="371">
  <si>
    <t>Fahrer</t>
  </si>
  <si>
    <t>Date</t>
  </si>
  <si>
    <t>Unfallnummer 
(Datum_Kennzeichen)</t>
  </si>
  <si>
    <t>Schadensnummer</t>
  </si>
  <si>
    <t>Polizeiliches 
Aktenzeichen</t>
  </si>
  <si>
    <t>Vorgang 
angelegt</t>
  </si>
  <si>
    <t>Fahrerformular 
vollständig</t>
  </si>
  <si>
    <t>Meldung an Partner 
abgegeben</t>
  </si>
  <si>
    <t>Deckungszusage 
erhalten</t>
  </si>
  <si>
    <t>Kostenübernahme 
eigene Versicherung</t>
  </si>
  <si>
    <t>Kostenübernahme 
fremde Versicherung</t>
  </si>
  <si>
    <t>Kosten Alfamile</t>
  </si>
  <si>
    <t>Regress 
Fahrer</t>
  </si>
  <si>
    <t>Offen/
geschlossen</t>
  </si>
  <si>
    <t>Heute</t>
  </si>
  <si>
    <t>Alter/
Tage:
&lt;90</t>
  </si>
  <si>
    <t>Kurzbeschreibung</t>
  </si>
  <si>
    <t>Kommentare</t>
  </si>
  <si>
    <t>2022-12-09HH-F3640</t>
  </si>
  <si>
    <t xml:space="preserve">Bogdan-Mihail Vntila </t>
  </si>
  <si>
    <t xml:space="preserve">Nicht Erhalten </t>
  </si>
  <si>
    <t>keins</t>
  </si>
  <si>
    <t>o</t>
  </si>
  <si>
    <r>
      <t>Sehr geehrte Damen und Herren 
Wir haben davor bei ihnen angerufen und mitgeteilt das unsere Homepage nicht funktioniert. Daher schicken wir die Daten des Schadens per E-mail
Der Unfall ereignete sich am</t>
    </r>
    <r>
      <rPr>
        <sz val="10"/>
        <color rgb="FFFF0000"/>
        <rFont val="Calibri"/>
        <family val="2"/>
      </rPr>
      <t xml:space="preserve"> 09.12.2022 um 15:30 in Bogen 94327 am Stadtplatz 7</t>
    </r>
    <r>
      <rPr>
        <sz val="10"/>
        <color theme="1"/>
        <rFont val="Calibri"/>
        <family val="2"/>
      </rPr>
      <t xml:space="preserve">. Der Fahrer heißt Herr Bogdan-Mihail Vintila sesshaft am Hohlweg 1 in 94342 Irlbach. Der Fahrer wollte während einer Dienstfahrt mit dem Auto HH-F3640E  einparken, hat dabei jedoch einen Säule übersehen und ist dagegen gefahren. Beschädigt ist der Spiegel auf der rechten Seite und der rechte Kotflügel. Im Anhang finden sie ein Bild und den Fahrzeugschein.
</t>
    </r>
    <r>
      <rPr>
        <sz val="10"/>
        <color theme="4"/>
        <rFont val="Calibri"/>
        <family val="2"/>
      </rPr>
      <t>"C:\Users\Frank\OneDrive - AlfaMile UG\Fuhrpark\Schadensmeldungen\Offen\2022-12-09HH-F3640"</t>
    </r>
  </si>
  <si>
    <r>
      <t>Rechnung über 4.120,52 +Mwst, "wegen fehlender Daten". Telefonat mit  Leaseplan am 08.03.2024: Foto einer Säule fehlt. Wurde von der 
Versicherung gefordert</t>
    </r>
    <r>
      <rPr>
        <sz val="10"/>
        <color rgb="FFFF0000"/>
        <rFont val="Calibri"/>
        <family val="2"/>
      </rPr>
      <t>. 03.05.2024: Frank muß LP informieren</t>
    </r>
  </si>
  <si>
    <t>2023-01-05WI-AM3369</t>
  </si>
  <si>
    <t>Muhammad Matti</t>
  </si>
  <si>
    <t>23-930113-78</t>
  </si>
  <si>
    <t>g</t>
  </si>
  <si>
    <t>Unser Fahrer hat Zaun bei Kunden umgefahren .Rechnung vom Kunden Dominik Koller</t>
  </si>
  <si>
    <t>500 Euro Rechnung vom Unfallgegnger beauftragt. 1.Leaseplan anrufen nachfragen wie es weiter geht 2. Anna anrufen und nachfragen ob eine 
Rechnung gekommen ist + 3. Klärung mit Buchhaltung ob Fahrer Regress leisten soll! Rechung erhalt unbekannt. Geschlossen!</t>
  </si>
  <si>
    <t>2023-06-23WI-AM3369</t>
  </si>
  <si>
    <t xml:space="preserve">GAZI? </t>
  </si>
  <si>
    <t>23-213408-85</t>
  </si>
  <si>
    <t>BY2301-003120--23/8</t>
  </si>
  <si>
    <r>
      <t xml:space="preserve">Jemand ist in unser Auto gefahren. </t>
    </r>
    <r>
      <rPr>
        <b/>
        <sz val="10"/>
        <color theme="1"/>
        <rFont val="Calibri"/>
        <family val="2"/>
      </rPr>
      <t>Nein!</t>
    </r>
  </si>
  <si>
    <r>
      <rPr>
        <sz val="10"/>
        <color theme="1"/>
        <rFont val="Calibri"/>
        <family val="2"/>
      </rPr>
      <t xml:space="preserve">Rechnung über 20.504,20 € +Mwst, "wegen fehlender Daten". Telefonat mit Kerstin Freikmann von Leaseplan am 06.03.2024: "Kennzeichen hat gefehlt". Wurde am 6.3. per Mail nachgeliefert. Wird Rechtsabteilung informieren. </t>
    </r>
    <r>
      <rPr>
        <sz val="10"/>
        <rFont val="Calibri"/>
        <family val="2"/>
      </rPr>
      <t xml:space="preserve">Kann geschlossen werden, wenn Rechnung zurückgenommen wird. Kommt auch auf die Versicherung an. </t>
    </r>
    <r>
      <rPr>
        <b/>
        <sz val="10"/>
        <rFont val="Calibri"/>
        <family val="2"/>
      </rPr>
      <t>Status 13.03, Fr Hasenkox.: Weitergeleitet von LP an Versicherung. LP-Rechnung kann erst zurückgenommen werden, wenn geg. Versicherung zahlt.</t>
    </r>
    <r>
      <rPr>
        <b/>
        <sz val="10"/>
        <color rgb="FFFF0000"/>
        <rFont val="Calibri"/>
        <family val="2"/>
      </rPr>
      <t xml:space="preserve"> Frank fragt bei LP nach. Nachfrage am 25.04 erfolgt. Antwort LP26.4. : Noch nichts vom Rechtsanwalt erhalten</t>
    </r>
    <r>
      <rPr>
        <sz val="10"/>
        <color rgb="FFFF0000"/>
        <rFont val="Calibri"/>
        <family val="2"/>
      </rPr>
      <t>. 15.05.: Antwort LP: Alfamile ist schuld. Sollen sie das als Haftpflichtschaden melden? Antwort von uns: ja.</t>
    </r>
  </si>
  <si>
    <t>2023-09-20WI-AM3272</t>
  </si>
  <si>
    <t xml:space="preserve">Maxim Furman </t>
  </si>
  <si>
    <t xml:space="preserve"> 050-1-23-06081-1 </t>
  </si>
  <si>
    <t xml:space="preserve">Unser Fahrer ist beim Abbiegen dem Fahrzueg das vor ihm war draufgefahren </t>
  </si>
  <si>
    <t>Noch keine Antwort von Leaseplan. Schadensmeldung  Unterschrieben --&gt; LP hat geschlossen. Klären wie man das zahlt.</t>
  </si>
  <si>
    <t>2023-09-23WI-AM5649</t>
  </si>
  <si>
    <t xml:space="preserve">Anatolie suprunenco </t>
  </si>
  <si>
    <t>23-218081-88</t>
  </si>
  <si>
    <t>H Kollisionsschaden durch Gegner, Seite links, Außenspieg (Keine Daten hab den schaden gemeldet und vergessen rein zu schreiben )</t>
  </si>
  <si>
    <r>
      <t xml:space="preserve">24.07.2024 Kam eine E-Mail von Frau Hasenkox die brauchen eine Kalkulation oder Reparaturrechnung: </t>
    </r>
    <r>
      <rPr>
        <b/>
        <sz val="14"/>
        <color rgb="FFC00000"/>
        <rFont val="Calibri"/>
        <family val="2"/>
      </rPr>
      <t>Zizler anrufen Termien ausmachen.</t>
    </r>
  </si>
  <si>
    <t>2023-11-10WI-VM8403</t>
  </si>
  <si>
    <t>Rental SM-83V571</t>
  </si>
  <si>
    <t>Ja, nicht vorhanden</t>
  </si>
  <si>
    <t xml:space="preserve">Totalschaden mit Short Term Lease mit total abgefahrenen Reifen. </t>
  </si>
  <si>
    <r>
      <t xml:space="preserve">21.02.2024: Forderung von MB 50% des Schadens zu übernehmen. 04.03.2024: Mail an MB, mit der Bitte um Zahlungsaufschub und neuer
 Prüfung.Antwort von Rechtsanwalt. Alfamile muß nun eigen RA finden und konsultieren. 28.11: RA kann nicht beurteilen ohne weitere Unterlagen. Gegner schlägt Ratenzahlung vor. Zeit eilt (heute): </t>
    </r>
    <r>
      <rPr>
        <sz val="10"/>
        <color rgb="FFC00000"/>
        <rFont val="Calibri"/>
        <family val="2"/>
      </rPr>
      <t>28: 11. : Frank hat Bitte um Ratenzahlung an geg. RA geschickt. Absprache mit Anna: Alle Unterlagen an unseren RA zur Überprüfung. Wenn RA Chancen sieht, dann gehen wir vor Gericht.Keine Antwort von RA.--&gt;  Anna hat Zustimmung an geg RA gesendet(29.4.) Geld muß gesendet werden.</t>
    </r>
  </si>
  <si>
    <t>2023-11-17HH-F3860</t>
  </si>
  <si>
    <t>Alessandro Licata</t>
  </si>
  <si>
    <t>23-221512-78</t>
  </si>
  <si>
    <t xml:space="preserve">  </t>
  </si>
  <si>
    <r>
      <t xml:space="preserve"> LP am 19.02. 2024: wollen Kostenvoranschlag/Rechnung. Status . Schadensmeldung wurde zugesendet</t>
    </r>
    <r>
      <rPr>
        <sz val="10"/>
        <color rgb="FFFF0000"/>
        <rFont val="Calibri"/>
        <family val="2"/>
      </rPr>
      <t>. Auto muss noch in die werkstatt Anna fragen ab wann Geld für die reperatur vorhanden ist.</t>
    </r>
  </si>
  <si>
    <t>2023-11-22WI-MB5569</t>
  </si>
  <si>
    <t>Alin Arcalean</t>
  </si>
  <si>
    <t>Rental  SM-SM-463VVC</t>
  </si>
  <si>
    <t xml:space="preserve">kein </t>
  </si>
  <si>
    <r>
      <t>Bewertung des Schadens erfolgt bei Rückgabe. Schon in der Verrechnungsliste  --</t>
    </r>
    <r>
      <rPr>
        <b/>
        <sz val="10"/>
        <color theme="1" tint="0.249977111117893"/>
        <rFont val="Calibri"/>
        <family val="2"/>
      </rPr>
      <t>&gt; Fahrer fristlos gekündigt. Kosten nicht bekannt. Weiterverrechnung nicht mehr möglich!</t>
    </r>
  </si>
  <si>
    <t>2023-11-28WI-VM2945</t>
  </si>
  <si>
    <t xml:space="preserve">Bruno </t>
  </si>
  <si>
    <t>23-985779-78</t>
  </si>
  <si>
    <t> Y2301-005023-23/9</t>
  </si>
  <si>
    <t>Das Auto fing an zu rutschen Fahrer verlor die Kontrolle.</t>
  </si>
  <si>
    <r>
      <t xml:space="preserve">Auto zurückgegeben (Totalschaden). 01.03. 2024: KfZ steht noch immer bei Abschlepper (21€/Tag). Rückgabe der Schilder nicht möglich, da 
LeasePlan nicht nichts bezahlt hat. </t>
    </r>
    <r>
      <rPr>
        <sz val="10"/>
        <rFont val="Arial"/>
        <family val="2"/>
      </rPr>
      <t xml:space="preserve">Mail am 1.3. uns mitzuteilen, wann wir die Schilder holen können.Noch keine Antwort </t>
    </r>
    <r>
      <rPr>
        <sz val="10"/>
        <color theme="1"/>
        <rFont val="Arial"/>
        <family val="2"/>
      </rPr>
      <t>Status 12.3: Antwort LP (Gurevich), das Rechnung bezahlt wurde. Schcilder wurden abgeholt.</t>
    </r>
  </si>
  <si>
    <t>2023-12-03WI-VM9321</t>
  </si>
  <si>
    <t>Kristyna Vlasakova</t>
  </si>
  <si>
    <t xml:space="preserve"> </t>
  </si>
  <si>
    <t>2092-013391-23/7</t>
  </si>
  <si>
    <t>30.00€</t>
  </si>
  <si>
    <t>Strafzettelanfrage die  MB an uns weitergibt.</t>
  </si>
  <si>
    <r>
      <t>Wird sofort von MB verrechnet --&gt;  IMMER direkt vom Fahrer abziehen! --</t>
    </r>
    <r>
      <rPr>
        <sz val="10"/>
        <color rgb="FFFF0000"/>
        <rFont val="Calibri"/>
        <family val="2"/>
      </rPr>
      <t xml:space="preserve">&gt; </t>
    </r>
    <r>
      <rPr>
        <sz val="10"/>
        <rFont val="Calibri"/>
        <family val="2"/>
      </rPr>
      <t xml:space="preserve">Weiter gegeben an sergejis. </t>
    </r>
    <r>
      <rPr>
        <sz val="10"/>
        <color theme="1"/>
        <rFont val="Calibri"/>
        <family val="2"/>
      </rPr>
      <t xml:space="preserve"> Gezahlt vom Fahrer.</t>
    </r>
  </si>
  <si>
    <t>2023-12-08WI-AM2943</t>
  </si>
  <si>
    <t>Madalina Lache</t>
  </si>
  <si>
    <t>23-221519-72</t>
  </si>
  <si>
    <t>Kalkulation machen --&gt; Kein Schaden an unserem Fahrzeug Reperatur wird nicht benötigt. Die Sache ist bei LP auf Abschluss.</t>
  </si>
  <si>
    <t>2023-12-15WIVM8404</t>
  </si>
  <si>
    <t>Anatolie</t>
  </si>
  <si>
    <t>EU202367913</t>
  </si>
  <si>
    <t>Fahrer hat Schaden an geschottertem Feldweg verusrsacht, Kunde hat an Amazon gemeldet.</t>
  </si>
  <si>
    <r>
      <t>Meldung über ARC , Warten auf die Rechnung. Rechnung erhalten (+ Mahnung). Amazon hat Anteil von 550 übernommen.</t>
    </r>
    <r>
      <rPr>
        <sz val="10"/>
        <rFont val="Arial"/>
        <family val="2"/>
      </rPr>
      <t xml:space="preserve"> Gelöscht in Cortex 27.02.2024.</t>
    </r>
  </si>
  <si>
    <t>2023-12-22WI-PK2212</t>
  </si>
  <si>
    <t>Rostyslav Simonov</t>
  </si>
  <si>
    <t>050-1-24-00024-3</t>
  </si>
  <si>
    <t>Keine Antwort von Leaseplan email 29.01.24 --&gt; nachfragen per Mai. 15.04 Schaden ist in der Bearbeitung . E-Mail am 29.05.2024 geschcikt und nachgefragt. Stand  06.06.2024 noch keine Antwort. Endlich Antwort erhalten 12.06.2024. Noch in Bearbeitung</t>
  </si>
  <si>
    <t>2024-01-04WI-VM8304</t>
  </si>
  <si>
    <t>Darius Jurj</t>
  </si>
  <si>
    <t>2090-004729-24/4SG23</t>
  </si>
  <si>
    <r>
      <rPr>
        <sz val="10"/>
        <rFont val="Calibri"/>
        <family val="2"/>
      </rPr>
      <t>Schließen wenn Rechnung an MB bezahlt --&gt;</t>
    </r>
    <r>
      <rPr>
        <sz val="10"/>
        <color rgb="FFFF0000"/>
        <rFont val="Calibri"/>
        <family val="2"/>
      </rPr>
      <t xml:space="preserve"> </t>
    </r>
    <r>
      <rPr>
        <sz val="10"/>
        <rFont val="Calibri"/>
        <family val="2"/>
      </rPr>
      <t>Buchhaltung wird immer gleich von MBA abgebucht. Fahrer ist weg.</t>
    </r>
  </si>
  <si>
    <t>04.01.2024WI-VM8403</t>
  </si>
  <si>
    <t xml:space="preserve">Wird sofort von MB verrechnet --&gt;  IMMER direkt vom Fahrer abziehen! --&gt; Weiter gegeben an sergejis Fahrer arbeitet nicht mehr bei uns </t>
  </si>
  <si>
    <t>2024-01-17WI-MB5570</t>
  </si>
  <si>
    <t>Michelle Dippert</t>
  </si>
  <si>
    <t>Rental SM-1FTYM9</t>
  </si>
  <si>
    <t>Unser Farzeug ist wegerutscht da es versucht hat einem anderen Fahrzueg auszuweichen  und ist mit dem rechten Fahrzeugheck an die Leitplanke gekommen</t>
  </si>
  <si>
    <r>
      <t>Mercedes Rental Leaseplan eine E-Mail geschickt das Punkt 4e nicht stimmt keine Antwort.</t>
    </r>
    <r>
      <rPr>
        <sz val="10"/>
        <color rgb="FFFF0000"/>
        <rFont val="Calibri"/>
        <family val="2"/>
      </rPr>
      <t xml:space="preserve"> </t>
    </r>
    <r>
      <rPr>
        <sz val="10"/>
        <color theme="5"/>
        <rFont val="Calibri"/>
        <family val="2"/>
      </rPr>
      <t>Abrechnung mit Fahrer läuft. Bis ca Mai --&gt;nachfragen.</t>
    </r>
  </si>
  <si>
    <t>2024-01-17WI-MB5569</t>
  </si>
  <si>
    <t>Valera Baranovski</t>
  </si>
  <si>
    <t>Rental SM-79KHJ3</t>
  </si>
  <si>
    <t>Keins</t>
  </si>
  <si>
    <t xml:space="preserve">Bei unserem Fahrzueg ist die Hinterachse weggerutscht und hat ein Leitpfosten gestreift </t>
  </si>
  <si>
    <r>
      <rPr>
        <sz val="10"/>
        <color theme="1" tint="4.9989318521683403E-2"/>
        <rFont val="Calibri"/>
        <family val="2"/>
      </rPr>
      <t xml:space="preserve">Mercedes  Rental wollen Aktenzeichen, Unfall wurde nicht von der Polizei aufgenommen . </t>
    </r>
    <r>
      <rPr>
        <sz val="10"/>
        <color theme="1" tint="0.249977111117893"/>
        <rFont val="Calibri"/>
        <family val="2"/>
      </rPr>
      <t>Zahlt 750€</t>
    </r>
    <r>
      <rPr>
        <sz val="10"/>
        <color rgb="FFFF0000"/>
        <rFont val="Calibri"/>
        <family val="2"/>
      </rPr>
      <t>.</t>
    </r>
  </si>
  <si>
    <t>22-01-2024WI-MB5569</t>
  </si>
  <si>
    <t xml:space="preserve">Übergabe Schaden </t>
  </si>
  <si>
    <t>Schaden bei der Übergabe Mercedes Benz</t>
  </si>
  <si>
    <t>Gefehelt hatt : Verbandtasche,  Warndreieck, Versicherungskarte, Warnweste.</t>
  </si>
  <si>
    <t>2024-01-25WI-AM3627</t>
  </si>
  <si>
    <t>050-1-24-00557-1</t>
  </si>
  <si>
    <t xml:space="preserve">Keine Daten vom Unfall + Fahrzeug nicht gescannt!  Dokument von Helvetia offen . Schadensmeldung "unbekannt" abgeschickt. E-Mail von Helvetia am 14.05.2024 bekommen, das  633,45 €  Entschädigung gezahlt. Fall geschlossen </t>
  </si>
  <si>
    <t>2024-01-26M-DR1317</t>
  </si>
  <si>
    <t>Mohammad Umair</t>
  </si>
  <si>
    <t>BY2301-000146-24/2</t>
  </si>
  <si>
    <t>Nachgefragt. Werden angerufen wenn die Polizei etwas braucht. 23.04.2024 immernoch kein Anruf .</t>
  </si>
  <si>
    <t>2024-02-06WI-AM3323</t>
  </si>
  <si>
    <t xml:space="preserve">Sandor </t>
  </si>
  <si>
    <t>SD70002290023</t>
  </si>
  <si>
    <t>BY2203-00203-24/7</t>
  </si>
  <si>
    <t>Fahrer hat beim umdrehen die komplette Dachrinne eingedrückt</t>
  </si>
  <si>
    <r>
      <t xml:space="preserve">Fahrerflucht . Geht an die Stattsanwaltschaft.  </t>
    </r>
    <r>
      <rPr>
        <b/>
        <sz val="10"/>
        <color theme="1"/>
        <rFont val="Calibri"/>
        <family val="2"/>
      </rPr>
      <t>Alfamile-Unfallbogen nicht ausgfeüllt !</t>
    </r>
    <r>
      <rPr>
        <sz val="10"/>
        <color theme="1"/>
        <rFont val="Calibri"/>
        <family val="2"/>
      </rPr>
      <t xml:space="preserve"> </t>
    </r>
    <r>
      <rPr>
        <sz val="10"/>
        <color rgb="FFFF0000"/>
        <rFont val="Calibri"/>
        <family val="2"/>
      </rPr>
      <t xml:space="preserve"> </t>
    </r>
    <r>
      <rPr>
        <sz val="10"/>
        <rFont val="Calibri"/>
        <family val="2"/>
      </rPr>
      <t xml:space="preserve">Eigenen Schaden (am Fahrzeug) feststellen --&gt;  ( Cristian hat einen Schaden an der Seite des Daches gefunden jedoch soll der Unfall mit dem Fahrzeugheck passiert sein, dort ist kein Schaden). Schadensmeldung am 26.04.2024 gemeldet an Schunck    </t>
    </r>
    <r>
      <rPr>
        <sz val="10"/>
        <color rgb="FFFF0000"/>
        <rFont val="Calibri"/>
        <family val="2"/>
      </rPr>
      <t xml:space="preserve">
</t>
    </r>
  </si>
  <si>
    <t>12-03-2024WI-AM2330</t>
  </si>
  <si>
    <t>Kein Leaseplan</t>
  </si>
  <si>
    <t>04-22-2024</t>
  </si>
  <si>
    <t>13.03.2024 Polizei</t>
  </si>
  <si>
    <r>
      <t xml:space="preserve">Straßenschild angefahren. Iin Zweisel </t>
    </r>
    <r>
      <rPr>
        <sz val="10"/>
        <color rgb="FFFF0000"/>
        <rFont val="Calibri"/>
        <family val="2"/>
      </rPr>
      <t xml:space="preserve"> </t>
    </r>
  </si>
  <si>
    <t>Fahrzeug prüfen.  Cristian Bescheid geben das er das Auto sich anschaut  (Schaden behoben ) Laut florin rechte Stoßstange war kaputt und am Flügel</t>
  </si>
  <si>
    <t>2024-03-21M-RR1007</t>
  </si>
  <si>
    <t>Robert Lazar</t>
  </si>
  <si>
    <t>K 73-319078/ff         K 573 319078 0024</t>
  </si>
  <si>
    <t>BY2313-000425-420-6</t>
  </si>
  <si>
    <t xml:space="preserve"> 2024-03-26</t>
  </si>
  <si>
    <t xml:space="preserve">Enge Straße. Fahrer hat parkendes Auto angekratzt </t>
  </si>
  <si>
    <r>
      <t>Fahrer soll zahlen . Meldung an VHV - nicht an leaseplan Meldung an VHV geschickt. Warten auf Antwort. Schadensmeldung ausgefüllt und abgeschcikt am 24.04.2024.</t>
    </r>
    <r>
      <rPr>
        <sz val="10"/>
        <color rgb="FFFF0000"/>
        <rFont val="Calibri"/>
        <family val="2"/>
      </rPr>
      <t xml:space="preserve">
</t>
    </r>
    <r>
      <rPr>
        <sz val="10"/>
        <color theme="1"/>
        <rFont val="Calibri"/>
        <family val="2"/>
      </rPr>
      <t xml:space="preserve"> </t>
    </r>
    <r>
      <rPr>
        <b/>
        <sz val="10"/>
        <color theme="1"/>
        <rFont val="Calibri"/>
        <family val="2"/>
      </rPr>
      <t>Alfamile-Unfallbogen nicht ausgefüllt!</t>
    </r>
  </si>
  <si>
    <t>2024-03-23WI-AM5649</t>
  </si>
  <si>
    <t>Anatolie Supronenco</t>
  </si>
  <si>
    <t>24-226372-088</t>
  </si>
  <si>
    <t xml:space="preserve">Nicht Vorhanden </t>
  </si>
  <si>
    <t xml:space="preserve">Keins </t>
  </si>
  <si>
    <t xml:space="preserve">Dem Fahrer wurde reingefahren </t>
  </si>
  <si>
    <r>
      <t>Versicherung des Gegners wird bezahlen. Schadensmeldung mit Fahrer ausgefüllt.(</t>
    </r>
    <r>
      <rPr>
        <b/>
        <sz val="10"/>
        <color theme="1"/>
        <rFont val="Calibri"/>
        <family val="2"/>
      </rPr>
      <t>Keine alfamile-Schadensmeldung abgegeben!)</t>
    </r>
    <r>
      <rPr>
        <sz val="10"/>
        <color theme="1"/>
        <rFont val="Calibri"/>
        <family val="2"/>
      </rPr>
      <t>. Am 3.5. Frau Hasenkox angefragt (Urlaub bis 13.3.).</t>
    </r>
    <r>
      <rPr>
        <sz val="10"/>
        <color rgb="FFFF0000"/>
        <rFont val="Calibri"/>
        <family val="2"/>
      </rPr>
      <t xml:space="preserve"> </t>
    </r>
    <r>
      <rPr>
        <sz val="10"/>
        <color theme="1"/>
        <rFont val="Calibri"/>
        <family val="2"/>
      </rPr>
      <t xml:space="preserve">Am 29.05 wieder nachgefragt. Stand 06.06 keine antwort.
Anwalt eingeschaltet. Frist bis zu 10.10. gesetzt. </t>
    </r>
  </si>
  <si>
    <t>Oleksandr</t>
  </si>
  <si>
    <t xml:space="preserve">Hat in der Kamera die steinmauer nicht gesehen und dagegen gefahren </t>
  </si>
  <si>
    <t>Beheben den Schaden selber. Kosten vorläufige schätzung wenn eigene werkstatt da ist.</t>
  </si>
  <si>
    <t>2024-04-23HH- F 3365E</t>
  </si>
  <si>
    <t>Farcas Filip, Roberto Daniel</t>
  </si>
  <si>
    <t>SD50002370285</t>
  </si>
  <si>
    <t>BY2309-505660-24/8</t>
  </si>
  <si>
    <t>1.611.50</t>
  </si>
  <si>
    <t>Fahrer hat parkendes Auto angefahren. Besitzer, Anton Scherl, hat sich am 24.04.  direkt bei uns gemeldet."Mein Fahrzeug war zum Unfallzeitpunkt ordnungsgemäß geparkt. Nach Schilderung von Herrn Farcas Filip stieß dieser beim Ein- oder Ausparken mit der hinteren Stoßstange (Trittbrett) seines Lieferfahrzeuges gegen meinen Pkw. Anstoßstelle auf Höhe des vorderen Kennzeichens. 
Dem äußeren Eindruck nach wurden bei meinem Fahrzeug dadurch lediglich die Halterung des Kennzeichens sowie die Aufhängung des vorderen Plastigrilles beschädigt. Eine Begutachtung des Schadens durch eine Werkstatt erfolgte bisher nicht. 
Der Unfall wurde durch die Polizei in Straubing vor Ort aufgenommen. Ein Aktenzeichen liegt mir bisher nicht vor. 
Bitte teilen Sie mir mit, wie die weiteren Schritte zur Abwicklung des Schadens aus Ihrer Sicht aussehen sollen."</t>
  </si>
  <si>
    <r>
      <t xml:space="preserve">Fahrer sgate das die Polizei vor Ort ihm einen Strafzettel gegeben haben von 30€ die unser Fahrer sofort bezahlte. (Er dachte er müsse nicht zu uns kommen da er ja die Strafe zahlte.)  </t>
    </r>
    <r>
      <rPr>
        <b/>
        <sz val="10"/>
        <color theme="1"/>
        <rFont val="Calibri"/>
        <family val="2"/>
      </rPr>
      <t>AlfaMile-Unfallbogen nicht  ausgefüllt: E-Mail an Herr Scherl geschickt das wir die 100€ zahlen. E-Mail-Angebot an Scherl am 02.05.2024 geschickt.</t>
    </r>
    <r>
      <rPr>
        <sz val="10"/>
        <color theme="1"/>
        <rFont val="Calibri"/>
        <family val="2"/>
      </rPr>
      <t xml:space="preserve"> </t>
    </r>
    <r>
      <rPr>
        <sz val="10"/>
        <color rgb="FFFF0000"/>
        <rFont val="Calibri"/>
        <family val="2"/>
      </rPr>
      <t>Antwort Scherl mit Kostenvoranschlag 1425€.</t>
    </r>
    <r>
      <rPr>
        <sz val="10"/>
        <color theme="1"/>
        <rFont val="Calibri"/>
        <family val="2"/>
      </rPr>
      <t xml:space="preserve"> KFZ ist 10 Jahre alter Roomster. Ganze Stoßstange soll getauscht und lackiert werden. Nur der Anwalt kann einsicht in die Akte bekommen. Frank fragt die Versicherung. Schadensmeldung an Schunck geschickt. Am 10.10 kam eine E-Mail von Schunck das der Versicherer den Schadenfall mit Aufwendungen von 1.611,50 abgeschlossen hat.</t>
    </r>
  </si>
  <si>
    <t>2024-05-04HH-F3640E</t>
  </si>
  <si>
    <t>Liza  Gyöngyösi</t>
  </si>
  <si>
    <t>SD50002331661</t>
  </si>
  <si>
    <r>
      <t>Beim Amazonlocker Ittlingerstraße 51-53 Straubing  (Tankstelle!) ist unser Fahrer um 16:04 in die Tankstelle eingefahren und ist dann rückwärks auf einen Querparkplatz gefahren. Zu diesem Zeitpunkt hat sich kein Fahrzeug hinter unserem Fahrzeug befunden. Während der Rückwärtsbewegung hat der Unfallgegner versucht mit hoher Geschwindigkeit noch durchzurutschen. Eigenschaden: Abschürfung am Gummi des Trittbretts. Schaden Gegner:  2 Seitenbleche einschl. Kotflüge</t>
    </r>
    <r>
      <rPr>
        <sz val="10"/>
        <color rgb="FFFF0000"/>
        <rFont val="Calibri"/>
        <family val="2"/>
      </rPr>
      <t>l</t>
    </r>
    <r>
      <rPr>
        <sz val="10"/>
        <rFont val="Calibri"/>
        <family val="2"/>
      </rPr>
      <t xml:space="preserve"> (hinten rechts, vor und über dem Radkasten)</t>
    </r>
    <r>
      <rPr>
        <sz val="10"/>
        <color rgb="FFFF0000"/>
        <rFont val="Calibri"/>
        <family val="2"/>
      </rPr>
      <t>.</t>
    </r>
    <r>
      <rPr>
        <sz val="10"/>
        <color theme="1"/>
        <rFont val="Calibri"/>
        <family val="2"/>
      </rPr>
      <t xml:space="preserve"> Wagen war gespachtelt und  irgendwann neu lackiert. Schaden wurde nicht von der Polizei aufgenommen. Gegner ist sofort mit dem Auto weggefahren. Unser Fahrer konnte die Unfallstelle deshalb nicht fotografieren.</t>
    </r>
  </si>
  <si>
    <r>
      <t xml:space="preserve">Am 06.05.2024 Jürgen Kaufmann(Unfallgegner) angerufen. Eine E-Mail mit allen Daten die wir brauchen geschickt. Keine Antwort bis jetzt, aber 
Mail von Schunk(Vers), dass ihnen der Unfall gemeldet wurde.  </t>
    </r>
    <r>
      <rPr>
        <sz val="10"/>
        <rFont val="Arial"/>
        <family val="2"/>
      </rPr>
      <t>Unfallmeldung am 15.05. geschickt</t>
    </r>
    <r>
      <rPr>
        <sz val="10"/>
        <color theme="1"/>
        <rFont val="Arial"/>
        <family val="2"/>
      </rPr>
      <t>. Noch keine antwort oder Anweisung. 08.10 Kennzeichen vom gegner geschickt 08.11. SR-A715SD50002331661 KH-Schaden vom 04.05.2024 mit HH-F 3640 - Unsere Schadennummer: 24206165: Geantwortet, dass wir kein Video haben.</t>
    </r>
  </si>
  <si>
    <t>2024-0515M-AZ1646</t>
  </si>
  <si>
    <t xml:space="preserve">Raul Cristea </t>
  </si>
  <si>
    <t>Nicht ausgefüllt  wurde dem unfallgegner zugejubelt</t>
  </si>
  <si>
    <t xml:space="preserve">Der Fahrer hat 5cm neben dem Gegner Fahrzeug geparkt ist  das Paket abbringen gegangen und als er raus kam standen  4 Personen 3 davon Nachbarn dort und sagten  das er den Kratzter verursacht hat. Unser Auto hat nichts </t>
  </si>
  <si>
    <t>Wir warten bis sich die Dame meldet. So lange spielen wir den Toten hasen</t>
  </si>
  <si>
    <t>2024-03-21WI-AM 2826</t>
  </si>
  <si>
    <t>na</t>
  </si>
  <si>
    <t>AZBY4301-001140-24/9</t>
  </si>
  <si>
    <t>Von: Anita Lutter &lt;anita.lutter@bad-rodach.de&gt;: Sehr geehrte Damen und Herren,
am Donnerstag, den 21.03.2024, um 15:01 Uhr verursachte ein Fahrer Ihrer Firma einen Schaden an einer Straßenlaterne, mit dem PKW, amtl. Kennzeichen WI-AM 2826, in der Steinfelder Str. 30, 96476 Bad Rodach.Der Unfall wurde polizeilich unter dem AZBY4301-001140-24/9 aufgenommen. Der Schaden beläuft sich auf 1.413,66 €, Belege anbei.</t>
  </si>
  <si>
    <t>Wer, Warum nicht gemeldet - oder war der Schaden bekannt? Was war los? Schaden am Fahrzeug?  Muß bezahlt werden (wir an Stadt, Fahrer an uns.Nicht unser Fahrer Frank hat am 28.05.2024 eine E-Mail geschickt</t>
  </si>
  <si>
    <t>2024-05-29M-AZ1659E</t>
  </si>
  <si>
    <t>Marcelo Matija</t>
  </si>
  <si>
    <t xml:space="preserve">Fahrer hat hat mit dem Blinker die Wand gekratzt und Teile liegen gelassen </t>
  </si>
  <si>
    <t>Wir können keine neuen Teile Bestellen da dieses System noch nicht freigeschaltet ist wir können aber einen Termin machen dann kommt jemand und bringt das Teil (Habe es angegeben ) Er Muss den Blinker zahlen</t>
  </si>
  <si>
    <t>2024-06-01HH-F3365E</t>
  </si>
  <si>
    <t>Andras Balint Bognar</t>
  </si>
  <si>
    <t>BY2309-507941-24/7</t>
  </si>
  <si>
    <t xml:space="preserve">Unser Fahrer ist rückwärts gefahren und hat nicht nach hinten geschaut </t>
  </si>
  <si>
    <t>Warten auf Kostenvoranschlag.Keinen bekommen 11.7 kam brief vom Rechtsanwalt. Vhv Schadensmeldung erstellt</t>
  </si>
  <si>
    <t xml:space="preserve">War zu dumm zum Parken. </t>
  </si>
  <si>
    <t>2024-06-29WI-AM3272</t>
  </si>
  <si>
    <t>Keine Daten bis heute</t>
  </si>
  <si>
    <t>2024-06-15WI-AM4009</t>
  </si>
  <si>
    <t>Gelu</t>
  </si>
  <si>
    <t> BY2303-508825-24/6</t>
  </si>
  <si>
    <t>am 15.06.2024, gegen 15:30 Uhr kam es in der Josef-Kirchner-Straße, 94469 Deggendorf zu einem Verkehrsunfall.
Hierbei fuhr der Fahrer des Amazon Prime-Fahrzeugs, Kennzeichnen WI-AM4009, gegen einen Blumentopf und entfernte sich nach Begutachtung des Unfallschadens von der Unfallörtlichkeit.
Da ihre Firma Halter des Fahrzeugs ist, wird im Rahmen dieses Strafverfahrens darum gebeten die Personalien des Fahrzeugführers zum Unfallzeitpunkt, der hiesigen Polizeiinspektion mitzuteilen.
Der Vorgang wird unter dem Aktenzeichen BY2303-508825-24/6 geführt
Mit freundlichen Grüßen
Tomarcenko Julia
Polizeimeisterin</t>
  </si>
  <si>
    <t>2024-07-01WI-AM3279</t>
  </si>
  <si>
    <t>Mohammad Gazi</t>
  </si>
  <si>
    <t>Unfall in derAmazon Tiefgarage mit einem Privatwagen, der 2 Fahrer von uns abgesetzt hat. Der Gegner wollte 250€ wegen eines winzigen Kratzers an einer schon verkratzten  Stoßstange. Frank hat Zahlung telefonisch abgelehnt.  Der Gegner Ist zur Polizei gegangen. Gazi streitet den Unfall ab obwohl wir beweise haben (Überwachungskamera) Der Gegner ist kein Fahrer bei Amazon.</t>
  </si>
  <si>
    <t>Bis jetzt noch keine Daten von der Polizei erhalten 07.08.2024. Keine Aktionen, wir warten, ob etwas kommt.</t>
  </si>
  <si>
    <t>2024-07-05WI-AM2332</t>
  </si>
  <si>
    <t>nein</t>
  </si>
  <si>
    <t>2024-07-30M-RR1007</t>
  </si>
  <si>
    <t>Dan Stefan Rucareanu</t>
  </si>
  <si>
    <t xml:space="preserve">    SD70002480693</t>
  </si>
  <si>
    <t>BY2313-502494-24/5</t>
  </si>
  <si>
    <t>(VHV)13.08.2024</t>
  </si>
  <si>
    <t>am 15.06.2024, gegen 15:30 Uhr kam es in der Josef-Kirchner-Straße, 94469 Deggendorf zu einem Verkehrsunfall.
Hierbei fuhr der Fahrer des Amazon Prime-Fahrzeugs, Kennzeichnen WI-AM4009, gegen einen Blumentopf und entfernte sich nach Begutachtung des Unfallschadens von der Unfallörtlichkeit.
Da ihre F38:R38ugführers zum Unfallzeitpunkt, der hiesigen Polizeiinspektion mitzuteilen.
Der Vorgang wird unter dem Aktenzeichen BY2303-508825-24/6 geführt
Mit freundlichen Grüßen
Tomarcenko Julia
Polizeimeisterin</t>
  </si>
  <si>
    <t>Unser Fahrer ist nach hinten gefahren wollte sich dann drehen um raus zu fahren und ist hängen geblieben. Am 11.08. Kostenvoranschlag von 
Unfallgegner erhalten. Am 29.08 an VHV weitergeleitet und mit Entschuldigungsschreiben an Unfallgegner geantwortet. Schadensnummer an Unfallgegner weitergegeben.F38:R38</t>
  </si>
  <si>
    <t>??</t>
  </si>
  <si>
    <t>M-AZ 2359</t>
  </si>
  <si>
    <t xml:space="preserve">Umair Mohammad </t>
  </si>
  <si>
    <t>RIVIAN</t>
  </si>
  <si>
    <t>NICHT GEMELDET: WENN FAHRERFLUCHT DATEN DER POLIZEI GEBEN : Status:</t>
  </si>
  <si>
    <t>Prozeß?????</t>
  </si>
  <si>
    <t>2024-08-02WI-AM5649</t>
  </si>
  <si>
    <t>SD4 0002 4677 73 T01</t>
  </si>
  <si>
    <t>(VHV)04.08.2024</t>
  </si>
  <si>
    <t>Unser Fahrer ist nach hinten gefahren auf der falschen seite und ein anderer Fahrer hat versucht, korrekt einzuparken.Unser Fahrer ist ihm ins Auto gefahren.</t>
  </si>
  <si>
    <t>Unser Fahrzeug hat keinen Schaden. Noch keine Schadensnummer konfiguriert von VHV   07.08.2024</t>
  </si>
  <si>
    <t>26.06.2024M-AZ1646E</t>
  </si>
  <si>
    <t>(Fabian Petrisor) --&gt; 
Christer Claudiu??</t>
  </si>
  <si>
    <t xml:space="preserve">	
SD30002486418/ 24210584</t>
  </si>
  <si>
    <t>NICHT GEMELDET. Niemand kennt den Fall. Fahrer nicht mehr da. 23.01.: Falscher Fahrer eingetragen!L41J41:Q41H41:Q41F41:Q41E41:Q41B41:Q41R41N41:Q41</t>
  </si>
  <si>
    <r>
      <rPr>
        <sz val="10"/>
        <rFont val="Calibri"/>
        <family val="2"/>
      </rPr>
      <t>Am 20.08.2024 mit schunck telefoniert sollen auf Daten warten.</t>
    </r>
    <r>
      <rPr>
        <sz val="10"/>
        <color rgb="FFC00000"/>
        <rFont val="Calibri"/>
        <family val="2"/>
      </rPr>
      <t xml:space="preserve"> Mail von Schunck an unfall@ am 23.01.: Bitte umStellungnahme. (Fahrer hat 
Schuleingeständnis unterschrieben (in der Mail). Anhänger beschädigt - .</t>
    </r>
    <r>
      <rPr>
        <b/>
        <sz val="10"/>
        <color rgb="FFC00000"/>
        <rFont val="Calibri"/>
        <family val="2"/>
      </rPr>
      <t>NOCH KEINE ANTWORT AN SCHUNCK GESENDET!!!</t>
    </r>
    <r>
      <rPr>
        <sz val="10"/>
        <color theme="1"/>
        <rFont val="Calibri"/>
        <family val="2"/>
      </rPr>
      <t xml:space="preserve"> Angaben gesendet.</t>
    </r>
  </si>
  <si>
    <t>2024-08-13K-AZ2627E</t>
  </si>
  <si>
    <t>none</t>
  </si>
  <si>
    <t>Haupt-Batterie defekt</t>
  </si>
  <si>
    <t>Die lange Geschichte der Rivian Batterie. Siehe VOR Ordner in Fuhrpark.</t>
  </si>
  <si>
    <t>26.08.2024WI-AM2337</t>
  </si>
  <si>
    <t>BY2313-502924-24/8</t>
  </si>
  <si>
    <r>
      <t xml:space="preserve">Aussage Furman: Er ist geradeaus gefahren und der Gegner ist ihm entgegen gefahren und in seine Fahrspur gekommen/Kurve geschnitten.
Gegner: Unser Fahrer wäre dem Gegner reingefahren. 
Unser Schaden: Seitenfenster Fahrerseite + Außenspiegel (+x)
</t>
    </r>
    <r>
      <rPr>
        <sz val="10"/>
        <color rgb="FFFF0000"/>
        <rFont val="Calibri"/>
        <family val="2"/>
      </rPr>
      <t>Keine Schadensmeldung: " Mappe liegt in irgendeinem einem Auto"</t>
    </r>
    <r>
      <rPr>
        <sz val="10"/>
        <color theme="1"/>
        <rFont val="Calibri"/>
        <family val="2"/>
      </rPr>
      <t xml:space="preserve">
Keinerlei Daten von Furman aufgenommen. Keine Fotos, kein Kennzeichen, Kein Name.
Name von Polizei übermittelt: Kühop, bulgarisches Fahrzeug BP 9444 BT
Sergejs: Hat mit Polizei telefoniert 50/50.</t>
    </r>
  </si>
  <si>
    <t xml:space="preserve">Absprache mit Frank: Warten, ob etwas aus Bulgarien kommt.. </t>
  </si>
  <si>
    <t>27.08.2024HH-F3640</t>
  </si>
  <si>
    <t>Balint Bognar</t>
  </si>
  <si>
    <t>Fehlt noch</t>
  </si>
  <si>
    <r>
      <t xml:space="preserve">Gehalten auf Fahrradweg, Tür geöffnet, Fahrradfahrer mit hoher Geschwindigkeit reingefahren. 
Unser Auto: kein Schaden. Unfallgegner: Hose kaput, Kratzer am Oberschenkel, Fahrad ist ganz. Polizei hat aufgenommen.( Polizei hat Unfall aufgenommen. Zeugenaussge, dass der Fahradfahrer geflogen ist. Nicht bekannt, ob das im Polizeibericht steht, und was das bedeutet.) </t>
    </r>
    <r>
      <rPr>
        <sz val="10"/>
        <color rgb="FFFF0000"/>
        <rFont val="Calibri"/>
        <family val="2"/>
      </rPr>
      <t>Keine Schadensmeldung über Formular.</t>
    </r>
  </si>
  <si>
    <t>Fahrer wird einen Brief von der Polizei bekommen. Wir warten ab.</t>
  </si>
  <si>
    <t>22-08-2024-WI-AM2944</t>
  </si>
  <si>
    <t>Ionut Stanescu</t>
  </si>
  <si>
    <t>BY2204-501701-24/3</t>
  </si>
  <si>
    <t>Auto ist los gerollt, wegen gerissener Handbremse. Unfallgegner hat vorgeschlagen den Schaden
 selbst zu beheben, für 950€.</t>
  </si>
  <si>
    <t>Absprache Anna/Frank: Wir übergeben an Versicherung. Vera macht Schadensmeldung an                     . Frank sagt Hr. Geier ab. Vhv seite öffnet sich nicht</t>
  </si>
  <si>
    <t>05.09.2024-</t>
  </si>
  <si>
    <t xml:space="preserve">Der Fahrer ist beim Rückwertz fahren in einen Busch rein </t>
  </si>
  <si>
    <t>Gemeldet am 11.09.2024</t>
  </si>
  <si>
    <t>Filimon</t>
  </si>
  <si>
    <t>Kunde behauptet: Das Paket wurde zugstellt. Um das Grundstück zu verlassen, musste das Fahrzeug gewendet werden. Beim wenden wurde das Vordach am rechten Eck angefahren un beschädigt. Fahrer hat dn schaden nicht gemeldet und niicht bemerkt habe es erfahren weil ich auf eine emial antworten musste. Kommentar Frank: Nach AMZ-Eskalatinen nach einem Monat aiu Claim geantwortet. In Absprache mit Dima zahlen wir den Schaden selbst,</t>
  </si>
  <si>
    <t>22.10.2024WI-AM3323</t>
  </si>
  <si>
    <t>Sebastian</t>
  </si>
  <si>
    <t>Cristian hat heute23.102024 den Schaden festgetsellt NCHT GEMELDET Wir vermuten das war jemand der mit dem Fahrzeug nachhause gefahren ist.</t>
  </si>
  <si>
    <t>25.10.2024WI-PK1993</t>
  </si>
  <si>
    <t>Nashat Othman</t>
  </si>
  <si>
    <t>Fahrer hat Dachrinne angefahren</t>
  </si>
  <si>
    <t>Mail von Unfallgegner am 09.12. erhalten.Schadensmeldung von Frank eröffnet am 10.12. Ebenso am 10.12. Feedback an Unfallgegner gegeben.</t>
  </si>
  <si>
    <t>28.10.2024 WI-AM1993</t>
  </si>
  <si>
    <t>Domjan Arnold Zsolt</t>
  </si>
  <si>
    <t>Der Fahrer ist mit dem Heck in die Einfahrt des Kunden gefahren und hat das Packet ausgeliefert beim raus fahren ist er mit dem Reifen hängen geblieben an einer Mauer</t>
  </si>
  <si>
    <t>31.10.2024 Immernoch keine Schadensmeldung.</t>
  </si>
  <si>
    <t>30.10.2024WI-MD6166</t>
  </si>
  <si>
    <t>Robert Macrineanu</t>
  </si>
  <si>
    <t>BY2303-517898-24/1</t>
  </si>
  <si>
    <t>Unser Fahrer ist aus der Einfahrt rausgefahren und der Gegner ist rückwärts in unser Fahrzeug reingefahren. Dima war vor Ort. Gegnerischer Fahrer musste Strafe zahlen.</t>
  </si>
  <si>
    <t>02.11.2024WI-PK1993</t>
  </si>
  <si>
    <t xml:space="preserve">Der Fahrer  hat das Haus übersehen und ist dagegen gefahren. </t>
  </si>
  <si>
    <t>Nashat hat es Sergejs gemeldet aber dieser nicht mir. Keine Schadensmeldung. Hatt dem Kunden 50€  gezahlt somit hat er das Thema "geschlossen" Wir haben keine Daten wie die Adresse oder den Namen der anderen Partei  (die schadensmeldung ist nicht richtig ausgefühlt)</t>
  </si>
  <si>
    <t>31-10-2024WI-AM4009</t>
  </si>
  <si>
    <t>valera Baranovski</t>
  </si>
  <si>
    <t>24-457296-88</t>
  </si>
  <si>
    <t>Technischer deffekt</t>
  </si>
  <si>
    <t>21-10-2024M-RR1007</t>
  </si>
  <si>
    <t>Sandor Szekely</t>
  </si>
  <si>
    <t>am 21.10.2024 gegen 08:55 Uhr wurde  M-RR1007 in Dingolfing bewegt.Sandor Hat im Straßengraben des Gobener Weg,84130 Dingolfing Altreifen entsorgt.</t>
  </si>
  <si>
    <t>Polizeiliche meldung</t>
  </si>
  <si>
    <t>13-11-2024M-AZ4096</t>
  </si>
  <si>
    <t>Octavian Mezin</t>
  </si>
  <si>
    <t>Der Fahrer ist gegen ein Stein gefahren</t>
  </si>
  <si>
    <t>Selber repariert. Fahrzeug wieder an Pool zurückgegeben. Kein neg. Feedback von Pool. Octavian soll zahlen.</t>
  </si>
  <si>
    <t>05.12.2024M-AZ6456</t>
  </si>
  <si>
    <t>Mircea Lingurar</t>
  </si>
  <si>
    <t>Bei der Einfahrhat der Fahrer einen Bordstein übersehen. Dann hat der Faherer gesmerkt das das Auto etwas gekratzt hat. Danach ist der Fahrer vom Bordstein weggefahren und hat ein Foto gemacht</t>
  </si>
  <si>
    <t>neues Fahrzeug. Noch bei Arval versichert --&gt; keine Meldung abgeben!</t>
  </si>
  <si>
    <t>05.12.2024M-AZ6458</t>
  </si>
  <si>
    <r>
      <t xml:space="preserve">11.12.2024       </t>
    </r>
    <r>
      <rPr>
        <sz val="10"/>
        <color theme="1"/>
        <rFont val="Calibri"/>
        <family val="2"/>
      </rPr>
      <t xml:space="preserve"> 2025-02-11</t>
    </r>
  </si>
  <si>
    <t xml:space="preserve">Der Fahrer wollte nach rechts abbiegen  (30km/h)  und ein Fahrrad was hinter ihm im Toten Winkel war ist auch abgebogen und sie sind kollidiert </t>
  </si>
  <si>
    <t>neues Fahrzeug. Noch bei Arval versichert --&gt; Arval-Portal, Meldung muß abgegeben werden. Schaden am 11.12.2024 bei Arval gemeldet. War jedoch kein Arval Auto mehr. Am 02.11.2025 Schaden an Shunk gemeldet</t>
  </si>
  <si>
    <t>11-12-2024WI-MD7605</t>
  </si>
  <si>
    <t>Der Fahrerist gegen ein Haus gefahren und hat die Rückkamer so wie Heck beschädigt</t>
  </si>
  <si>
    <t>?</t>
  </si>
  <si>
    <t>Sulaiman</t>
  </si>
  <si>
    <t xml:space="preserve">Leichter schaden AN EINEM "Blumentopf"xnicht s am Auto kunde sagt alles okay </t>
  </si>
  <si>
    <t>18.12.2024 M-AZ6458</t>
  </si>
  <si>
    <t>Auffahrunfall AMZ-Gelände (Geschädigtes Fahrzeug)</t>
  </si>
  <si>
    <t>Frank: Telefonat am 14.01. mit Arval-Hotline 08974423-100 und -567. Beide haben bestätigt, das der Fall am 22.12. telefonisch gemeldet wurde und in der DB ist.</t>
  </si>
  <si>
    <t>18.12.2024 M-AZ4205</t>
  </si>
  <si>
    <t>Cacaleteanu ????????</t>
  </si>
  <si>
    <t>Auffahrunfall AMZ-Gelände (Unfallverursacher)</t>
  </si>
  <si>
    <t>20.12.2024WI-MB9655</t>
  </si>
  <si>
    <t>Ivan Oshustovych</t>
  </si>
  <si>
    <t>Nein</t>
  </si>
  <si>
    <t>Mercedes Benz hat geschrieben das Das der Zustand Verkehrssicher ist und die Bewertung bei der rückgabe statt findet . 08.01.2025.  Dachrinne angefahren.</t>
  </si>
  <si>
    <t>War der Schaden in Hunderdorf und wurde an MB gemeldet. Da das Auto in einem Verkehrsicheren Zustand befindet wird der Schaden bei der Rückgabe erfolgen 
Frank hat alles mit der Unfallgegnerin geklärt. Eine Meldung an VHV ist irrtümlich erfolgt. Erklärung dazu letztmals am 26.02. an VHV gesendet.</t>
  </si>
  <si>
    <t>29.01.2025M-RR1007</t>
  </si>
  <si>
    <t>Lazar Gabriel</t>
  </si>
  <si>
    <t>Ja von DHL 2.022,38</t>
  </si>
  <si>
    <t>Unfall mit DHL-Fahrzeug. Wurde von Polizei aufgenommen, Sergejs weiß.</t>
  </si>
  <si>
    <t xml:space="preserve">Schaden auf der DHL Website gemacht und abgeschickt. Kalkulation erhalten von 2.022,38 Euro. Wir können ausssuchen ob wir uns das Gel d auszahlen werden oder eine Reperatur veranlassen: 13.02.2025 Auszahlung veranlasst </t>
  </si>
  <si>
    <t>Sebestyen Ioan</t>
  </si>
  <si>
    <r>
      <t xml:space="preserve">Property Damage: Kunde gibt an: Das Auto fuhr Rückwärts aus der Ausfahrt und rammte die Steinmauer
 beim einbiegen in die Straße. Transporter-ID A34ZXVRO8J3Q5Z </t>
    </r>
    <r>
      <rPr>
        <sz val="10"/>
        <color theme="1"/>
        <rFont val="Calibri"/>
        <family val="2"/>
      </rPr>
      <t xml:space="preserve">Abgelehnt bei Amazon </t>
    </r>
  </si>
  <si>
    <r>
      <t xml:space="preserve">EU202583826 Claim Nummer.  </t>
    </r>
    <r>
      <rPr>
        <sz val="12"/>
        <color rgb="FF242424"/>
        <rFont val="Segoe UI"/>
        <family val="2"/>
      </rPr>
      <t xml:space="preserve">Fahrer ist nicht mehr da. Haben keinen Schaden am am Fahrzeug und es wurde uns nichts gemeldet. </t>
    </r>
  </si>
  <si>
    <t>2025-01-10WI-MD 6169</t>
  </si>
  <si>
    <t>Mercedes, MB-Rent. 750€ SB</t>
  </si>
  <si>
    <t>Lange Beule Stoßstange.</t>
  </si>
  <si>
    <t>2025-02-24WI-MB8739</t>
  </si>
  <si>
    <t>Lata Emanuel</t>
  </si>
  <si>
    <t>Der Fahrer hat einen Rangschierschaden. Er ist nach hinten gefahren und hat beim abbiegen einen Stein angefahren.</t>
  </si>
  <si>
    <t>Vorab Einspruch von Frank zu Punkt 4e; Die Antwort lautet "ja".  Das Fahrzeug wird begutachtet bei Rückgabe</t>
  </si>
  <si>
    <t>2025-02-07WI-MB8739</t>
  </si>
  <si>
    <t>Eduard</t>
  </si>
  <si>
    <t xml:space="preserve">Mercedes -Benz wurde von der Polizei kontaktiert und hat unsere Daten </t>
  </si>
  <si>
    <t>Strafzettel. 05.03.2025 Wir warten auf den offiziellen Strafzettel von der Polizei um weiter verfolgen zu können. Da es ein Merceds Benz Auto ist können wir nicht nachverfolgen wo das Auto war und an diesem Tag ist auch niemand mit diesem Auto in die Tour gefahren.  Vermutung das es Eduard ist da er mit diesem Auto nachhause gefahren ist. Brief kam an bei anna.</t>
  </si>
  <si>
    <t>2025-02-18M-AZ1646</t>
  </si>
  <si>
    <t>Moustafa</t>
  </si>
  <si>
    <t>EU202584717</t>
  </si>
  <si>
    <t xml:space="preserve">Kunde behauptet: der Fahrer hat bei der Zustellung mehrere Terrassenplatten beschädigt. Haben nach einem Nachweis gefragt </t>
  </si>
  <si>
    <t xml:space="preserve">ARC Claims von Amazon </t>
  </si>
  <si>
    <t>2025-03-04K-AZ2583</t>
  </si>
  <si>
    <t>Dmitri Semeniuc</t>
  </si>
  <si>
    <t xml:space="preserve">Der Fahrer ist Abgebogen weil er dachte da sei kein Platz und in einen Pfosten in der Garage Gefahren </t>
  </si>
  <si>
    <t>Warte auf Anweisung von Sergejs 05.03.2025 ( 3-5 kmh die stunde Piep ding hat nkcht funktioniert)</t>
  </si>
  <si>
    <t>2025-03-05M-AZ1663E</t>
  </si>
  <si>
    <t>2025-03-12 WI-PK1993</t>
  </si>
  <si>
    <t xml:space="preserve">Csaba  </t>
  </si>
  <si>
    <t>Der Fahrer hat einen Holzhüttchen angefahren</t>
  </si>
  <si>
    <t>2025-02-25WI-MD4653</t>
  </si>
  <si>
    <t>Cristi Ambrus</t>
  </si>
  <si>
    <t>2025-03-12WI-MB6169</t>
  </si>
  <si>
    <t xml:space="preserve">Eduard </t>
  </si>
  <si>
    <t xml:space="preserve">Strafzettel </t>
  </si>
  <si>
    <t>2025-07-21 WI-AM 2742</t>
  </si>
  <si>
    <t>Domjan Zsolt</t>
  </si>
  <si>
    <t xml:space="preserve">	SD70003042485</t>
  </si>
  <si>
    <t>nein. Meldung von Schunck
 Tel geklärt</t>
  </si>
  <si>
    <t>Fahrer wollte parallel einparken und ist feuchten Schuhen von der Bremse abgerutscht. Schaden sichtbar:
 2 Türen, Tankdeckel und Außenspiegel.</t>
  </si>
  <si>
    <t>Wieder aufgetaucht über Meldung der Versicherung.</t>
  </si>
  <si>
    <t>2025-08-08 WI-AM 2944-1</t>
  </si>
  <si>
    <t>Cosmos: LK7101625/ LP: 25-246477-078
(VHV:SD8 0003 0678 33/ Schnk:25105735)</t>
  </si>
  <si>
    <t>Gegner ist rückwärts gefahren und hat unseren Wagen vorne rechts beschädigt(Tür und Radlauf)</t>
  </si>
  <si>
    <t xml:space="preserve">Wird direkt gehandled. LP macht nichts, da Unfall 3 Wochen später gemeldet wurde. </t>
  </si>
  <si>
    <t>2025-08-08 WI-AM 2944-2</t>
  </si>
  <si>
    <t>SD8 0003 0678 33 T01/ 25105976</t>
  </si>
  <si>
    <t>nein. Daten von Sergejs</t>
  </si>
  <si>
    <t>Uber das Ende einer großen Begrenzungsmauer gefahren</t>
  </si>
  <si>
    <t>Versicherungsdaten an Geschädigten weitergegeben</t>
  </si>
  <si>
    <t>2025-08-09 WI-PK 2211</t>
  </si>
  <si>
    <t>Alin Motau</t>
  </si>
  <si>
    <t>SD2 0003 0493 28/ 25105743</t>
  </si>
  <si>
    <t>BY2301-504460-25/0</t>
  </si>
  <si>
    <t>nein, Daten von Dmitris</t>
  </si>
  <si>
    <t>Rückwarts gefahren und stehendes Motorrad übersehen.</t>
  </si>
  <si>
    <t>Versicherungsdaten an Geschädigten (Werkstatt) weitergegeben</t>
  </si>
  <si>
    <t>2025-09-18 M-EJ1085</t>
  </si>
  <si>
    <t>ja</t>
  </si>
  <si>
    <t>Beim Vorbeifahren anderes KFZ beschädigt</t>
  </si>
  <si>
    <t>2025-10-02 WI -AM 3619</t>
  </si>
  <si>
    <t>Tanja Draculic</t>
  </si>
  <si>
    <t>Schnk-Nr: 25107897</t>
  </si>
  <si>
    <t>84453 Mühldorf, Gutenbergring 17 Mercedes rückwärts in unser parkendes Amazon-Lieferfahrzeug gefahren.</t>
  </si>
  <si>
    <t>2026-01-16 M-AZ4587</t>
  </si>
  <si>
    <t>Eduard Filip</t>
  </si>
  <si>
    <t>ARVAL: 226062198</t>
  </si>
  <si>
    <t>LMR: Arval-Fahrzeug: Schadens am Carport und an der Dachrinne der Wohnanlage WEG Gartenstr. 8, 94234 Viechtach.</t>
  </si>
  <si>
    <t xml:space="preserve">Telefonisch an ARVAL gemeldet. </t>
  </si>
  <si>
    <t>2026-02-20 M-AZ8162E</t>
  </si>
  <si>
    <t>Majed Marzouk</t>
  </si>
  <si>
    <t>Vorfahrt genommen. Schaden an Stoßstange (wir und Gegner)</t>
  </si>
  <si>
    <t>2025-12-20 M-AZ 1631E</t>
  </si>
  <si>
    <t>Ivan Durunda</t>
  </si>
  <si>
    <t>SchnkNr: 26101175</t>
  </si>
  <si>
    <t>94307 Eggenfelden/Straubing, Lauterbachstr 81. Rangierschaden beim Ausparken.( Spiegel  und Kotflügel beschädigt. Wir sind schuld)</t>
  </si>
  <si>
    <t xml:space="preserve"> 2026-01-17 M -AZ 8193E</t>
  </si>
  <si>
    <t>: Majed Marzouk</t>
  </si>
  <si>
    <t>SchunckNr. 26101249</t>
  </si>
  <si>
    <t>94327 Bogen Sudetendeutschen Straße SR -AA 727  Ohne Vorwarnung setzte der Lieferwagen rückwärts und stieß gegen
die vordere Beifahrerseite meines Autos im Bereich der Stoßstange.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</si>
</sst>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yyyy\-mm\-dd;@"/>
    <numFmt numFmtId="166" formatCode="#,##0.00\ &quot;€&quot;"/>
  </numFmts>
  <fonts count="36" x14ac:knownFonts="1">
    <font>
      <sz val="11"/>
      <color theme="1"/>
      <name val="Calibri"/>
      <family val="2"/>
      <scheme val="minor"/>
    </font>
    <font>
      <b/>
      <sz val="11"/>
      <color theme="1"/>
      <name val="Calibri"/>
      <family val="2"/>
      <scheme val="minor"/>
    </font>
    <font>
      <sz val="8"/>
      <name val="Calibri"/>
      <family val="2"/>
      <scheme val="minor"/>
    </font>
    <font>
      <sz val="10"/>
      <color theme="1"/>
      <name val="Arial"/>
      <family val="2"/>
    </font>
    <font>
      <b/>
      <sz val="10"/>
      <color theme="1"/>
      <name val="Arial"/>
      <family val="2"/>
    </font>
    <font>
      <sz val="10"/>
      <color rgb="FFFF0000"/>
      <name val="Arial"/>
      <family val="2"/>
    </font>
    <font>
      <sz val="10"/>
      <name val="Arial"/>
      <family val="2"/>
    </font>
    <font>
      <sz val="10"/>
      <color rgb="FFFF0000"/>
      <name val="Calibri"/>
      <family val="2"/>
    </font>
    <font>
      <sz val="10"/>
      <color theme="1" tint="4.9989318521683403E-2"/>
      <name val="Calibri"/>
      <family val="2"/>
    </font>
    <font>
      <sz val="10"/>
      <color theme="1"/>
      <name val="Calibri"/>
      <family val="2"/>
    </font>
    <font>
      <b/>
      <sz val="10"/>
      <color rgb="FFFF0000"/>
      <name val="Calibri"/>
      <family val="2"/>
    </font>
    <font>
      <b/>
      <sz val="10"/>
      <color theme="0"/>
      <name val="Calibri"/>
      <family val="2"/>
    </font>
    <font>
      <b/>
      <sz val="10"/>
      <color theme="1"/>
      <name val="Calibri"/>
      <family val="2"/>
    </font>
    <font>
      <sz val="10"/>
      <name val="Calibri"/>
      <family val="2"/>
    </font>
    <font>
      <sz val="10"/>
      <color theme="4"/>
      <name val="Calibri"/>
      <family val="2"/>
    </font>
    <font>
      <sz val="10"/>
      <color rgb="FFC00000"/>
      <name val="Calibri"/>
      <family val="2"/>
    </font>
    <font>
      <b/>
      <sz val="10"/>
      <name val="Calibri"/>
      <family val="2"/>
    </font>
    <font>
      <b/>
      <sz val="10"/>
      <color theme="1" tint="4.9989318521683403E-2"/>
      <name val="Calibri"/>
      <family val="2"/>
    </font>
    <font>
      <sz val="10"/>
      <color theme="1" tint="0.249977111117893"/>
      <name val="Calibri"/>
      <family val="2"/>
    </font>
    <font>
      <b/>
      <sz val="10"/>
      <color theme="1" tint="0.249977111117893"/>
      <name val="Calibri"/>
      <family val="2"/>
    </font>
    <font>
      <sz val="10"/>
      <color theme="5"/>
      <name val="Calibri"/>
      <family val="2"/>
    </font>
    <font>
      <sz val="11"/>
      <color rgb="FF242424"/>
      <name val="Calibri"/>
      <family val="2"/>
    </font>
    <font>
      <sz val="10"/>
      <color theme="8" tint="-0.249977111117893"/>
      <name val="Calibri"/>
      <family val="2"/>
    </font>
    <font>
      <sz val="10"/>
      <color theme="9" tint="-0.249977111117893"/>
      <name val="Calibri"/>
      <family val="2"/>
    </font>
    <font>
      <sz val="11"/>
      <color theme="1"/>
      <name val="Calibri"/>
      <family val="2"/>
      <scheme val="minor"/>
    </font>
    <font>
      <sz val="10"/>
      <color rgb="FF242424"/>
      <name val="Segoe UI"/>
      <family val="2"/>
    </font>
    <font>
      <sz val="12"/>
      <color rgb="FF222222"/>
      <name val="Arial"/>
      <family val="2"/>
    </font>
    <font>
      <sz val="11"/>
      <color rgb="FF242424"/>
      <name val="Segoe UI"/>
      <family val="2"/>
    </font>
    <font>
      <b/>
      <sz val="14"/>
      <color rgb="FFC00000"/>
      <name val="Calibri"/>
      <family val="2"/>
    </font>
    <font>
      <sz val="12"/>
      <color rgb="FF02080E"/>
      <name val="Arial"/>
      <family val="2"/>
    </font>
    <font>
      <sz val="10"/>
      <color rgb="FF7030A0"/>
      <name val="Calibri"/>
      <family val="2"/>
    </font>
    <font>
      <b/>
      <sz val="10"/>
      <color rgb="FFC00000"/>
      <name val="Calibri"/>
      <family val="2"/>
    </font>
    <font>
      <sz val="11"/>
      <color rgb="FF424242"/>
      <name val="Calibri"/>
      <family val="2"/>
    </font>
    <font>
      <sz val="12"/>
      <color rgb="FF242424"/>
      <name val="Segoe UI"/>
      <family val="2"/>
    </font>
    <font>
      <sz val="10"/>
      <color rgb="FFC00000"/>
      <name val="Arial"/>
      <family val="2"/>
    </font>
    <font>
      <sz val="12"/>
      <color rgb="FFFF0000"/>
      <name val="Segoe UI"/>
      <family val="2"/>
    </font>
  </fonts>
  <fills count="12">
    <fill>
      <patternFill patternType="none"/>
    </fill>
    <fill>
      <patternFill patternType="gray125"/>
    </fill>
    <fill>
      <patternFill patternType="solid">
        <fgColor rgb="FFF98607"/>
        <bgColor indexed="64"/>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164" fontId="24" fillId="0" borderId="0" applyFont="0" applyFill="0" applyBorder="0" applyAlignment="0" applyProtection="0"/>
  </cellStyleXfs>
  <cellXfs count="146">
    <xf numFmtId="0" fontId="0" fillId="0" borderId="0" xfId="0"/>
    <xf numFmtId="0" fontId="3" fillId="0" borderId="0" xfId="0" applyFont="1"/>
    <xf numFmtId="0" fontId="3" fillId="0" borderId="1" xfId="0" applyFont="1" applyBorder="1"/>
    <xf numFmtId="165" fontId="3" fillId="0" borderId="1" xfId="0" applyNumberFormat="1" applyFont="1" applyBorder="1"/>
    <xf numFmtId="0" fontId="3" fillId="0" borderId="1" xfId="0" applyFont="1" applyBorder="1" applyAlignment="1">
      <alignment wrapText="1"/>
    </xf>
    <xf numFmtId="165" fontId="3" fillId="0" borderId="0" xfId="0" applyNumberFormat="1" applyFont="1"/>
    <xf numFmtId="166" fontId="3" fillId="3" borderId="1" xfId="0" applyNumberFormat="1" applyFont="1" applyFill="1" applyBorder="1"/>
    <xf numFmtId="166" fontId="3" fillId="4" borderId="1" xfId="0" applyNumberFormat="1" applyFont="1" applyFill="1" applyBorder="1"/>
    <xf numFmtId="166" fontId="3" fillId="5" borderId="1" xfId="0" applyNumberFormat="1" applyFont="1" applyFill="1" applyBorder="1"/>
    <xf numFmtId="166" fontId="3" fillId="7" borderId="1" xfId="0" applyNumberFormat="1" applyFont="1" applyFill="1" applyBorder="1"/>
    <xf numFmtId="165" fontId="4" fillId="0" borderId="1" xfId="0" applyNumberFormat="1" applyFont="1" applyBorder="1"/>
    <xf numFmtId="166" fontId="6" fillId="5" borderId="1" xfId="0" applyNumberFormat="1" applyFont="1" applyFill="1" applyBorder="1"/>
    <xf numFmtId="166" fontId="6" fillId="7" borderId="1" xfId="0" applyNumberFormat="1" applyFont="1" applyFill="1" applyBorder="1"/>
    <xf numFmtId="0" fontId="6" fillId="0" borderId="1" xfId="0" applyFont="1" applyBorder="1"/>
    <xf numFmtId="0" fontId="3" fillId="6" borderId="1" xfId="0" applyFont="1" applyFill="1" applyBorder="1"/>
    <xf numFmtId="0" fontId="5" fillId="0" borderId="0" xfId="0" applyFont="1"/>
    <xf numFmtId="165" fontId="11" fillId="2" borderId="1" xfId="0" applyNumberFormat="1" applyFont="1" applyFill="1" applyBorder="1" applyAlignment="1">
      <alignment wrapText="1"/>
    </xf>
    <xf numFmtId="0" fontId="11" fillId="2" borderId="1" xfId="0" applyFont="1" applyFill="1" applyBorder="1"/>
    <xf numFmtId="0" fontId="11" fillId="2" borderId="1" xfId="0" applyFont="1" applyFill="1" applyBorder="1" applyAlignment="1">
      <alignment wrapText="1"/>
    </xf>
    <xf numFmtId="0" fontId="11" fillId="2" borderId="2" xfId="0" applyFont="1" applyFill="1" applyBorder="1" applyAlignment="1">
      <alignment wrapText="1"/>
    </xf>
    <xf numFmtId="165" fontId="9" fillId="0" borderId="1" xfId="0" applyNumberFormat="1" applyFont="1" applyBorder="1"/>
    <xf numFmtId="165" fontId="12" fillId="0" borderId="1" xfId="0" applyNumberFormat="1" applyFont="1" applyBorder="1"/>
    <xf numFmtId="0" fontId="9" fillId="0" borderId="1" xfId="0" applyFont="1" applyBorder="1"/>
    <xf numFmtId="166" fontId="9" fillId="3" borderId="1" xfId="0" applyNumberFormat="1" applyFont="1" applyFill="1" applyBorder="1"/>
    <xf numFmtId="166" fontId="9" fillId="4" borderId="1" xfId="0" applyNumberFormat="1" applyFont="1" applyFill="1" applyBorder="1"/>
    <xf numFmtId="166" fontId="9" fillId="5" borderId="1" xfId="0" applyNumberFormat="1" applyFont="1" applyFill="1" applyBorder="1"/>
    <xf numFmtId="166" fontId="9" fillId="7" borderId="1" xfId="0" applyNumberFormat="1" applyFont="1" applyFill="1" applyBorder="1"/>
    <xf numFmtId="0" fontId="12" fillId="0" borderId="1" xfId="0" applyFont="1" applyBorder="1"/>
    <xf numFmtId="0" fontId="9" fillId="6" borderId="1" xfId="0" applyFont="1" applyFill="1" applyBorder="1"/>
    <xf numFmtId="0" fontId="9" fillId="0" borderId="1" xfId="0" applyFont="1" applyBorder="1" applyAlignment="1">
      <alignment wrapText="1"/>
    </xf>
    <xf numFmtId="166" fontId="7" fillId="7" borderId="1" xfId="0" applyNumberFormat="1" applyFont="1" applyFill="1" applyBorder="1"/>
    <xf numFmtId="165" fontId="7" fillId="0" borderId="1" xfId="0" applyNumberFormat="1" applyFont="1" applyBorder="1"/>
    <xf numFmtId="166" fontId="7" fillId="3" borderId="1" xfId="0" applyNumberFormat="1" applyFont="1" applyFill="1" applyBorder="1"/>
    <xf numFmtId="166" fontId="7" fillId="4" borderId="1" xfId="0" applyNumberFormat="1" applyFont="1" applyFill="1" applyBorder="1"/>
    <xf numFmtId="166" fontId="7" fillId="5" borderId="1" xfId="0" applyNumberFormat="1" applyFont="1" applyFill="1" applyBorder="1"/>
    <xf numFmtId="0" fontId="8" fillId="0" borderId="1" xfId="0" applyFont="1" applyBorder="1"/>
    <xf numFmtId="0" fontId="7" fillId="0" borderId="1" xfId="0" applyFont="1" applyBorder="1" applyAlignment="1">
      <alignment wrapText="1"/>
    </xf>
    <xf numFmtId="4" fontId="9" fillId="6" borderId="1" xfId="0" applyNumberFormat="1" applyFont="1" applyFill="1" applyBorder="1"/>
    <xf numFmtId="4" fontId="9" fillId="0" borderId="1" xfId="0" applyNumberFormat="1" applyFont="1" applyBorder="1"/>
    <xf numFmtId="0" fontId="12" fillId="0" borderId="1" xfId="0" applyFont="1" applyBorder="1" applyAlignment="1">
      <alignment wrapText="1"/>
    </xf>
    <xf numFmtId="166" fontId="13" fillId="5" borderId="1" xfId="0" applyNumberFormat="1" applyFont="1" applyFill="1" applyBorder="1"/>
    <xf numFmtId="0" fontId="7" fillId="0" borderId="1" xfId="0" applyFont="1" applyBorder="1"/>
    <xf numFmtId="0" fontId="17" fillId="0" borderId="1" xfId="0" applyFont="1" applyBorder="1"/>
    <xf numFmtId="0" fontId="8" fillId="6" borderId="1" xfId="0" applyFont="1" applyFill="1" applyBorder="1"/>
    <xf numFmtId="14" fontId="9" fillId="0" borderId="1" xfId="0" applyNumberFormat="1" applyFont="1" applyBorder="1"/>
    <xf numFmtId="165" fontId="9" fillId="0" borderId="1" xfId="0" applyNumberFormat="1" applyFont="1" applyBorder="1" applyAlignment="1">
      <alignment horizontal="right"/>
    </xf>
    <xf numFmtId="0" fontId="18" fillId="0" borderId="1" xfId="0" applyFont="1" applyBorder="1" applyAlignment="1">
      <alignment wrapText="1"/>
    </xf>
    <xf numFmtId="0" fontId="18" fillId="0" borderId="1" xfId="0" applyFont="1" applyBorder="1"/>
    <xf numFmtId="165" fontId="9" fillId="8" borderId="1" xfId="0" applyNumberFormat="1" applyFont="1" applyFill="1" applyBorder="1"/>
    <xf numFmtId="165" fontId="12" fillId="8" borderId="1" xfId="0" applyNumberFormat="1" applyFont="1" applyFill="1" applyBorder="1"/>
    <xf numFmtId="0" fontId="9" fillId="8" borderId="1" xfId="0" applyFont="1" applyFill="1" applyBorder="1"/>
    <xf numFmtId="0" fontId="12" fillId="8" borderId="1" xfId="0" applyFont="1" applyFill="1" applyBorder="1"/>
    <xf numFmtId="166" fontId="18" fillId="5" borderId="1" xfId="0" applyNumberFormat="1" applyFont="1" applyFill="1" applyBorder="1"/>
    <xf numFmtId="0" fontId="9" fillId="9" borderId="1" xfId="0" applyFont="1" applyFill="1" applyBorder="1"/>
    <xf numFmtId="0" fontId="3" fillId="9" borderId="1" xfId="0" applyFont="1" applyFill="1" applyBorder="1"/>
    <xf numFmtId="165" fontId="3" fillId="9" borderId="1" xfId="0" applyNumberFormat="1" applyFont="1" applyFill="1" applyBorder="1"/>
    <xf numFmtId="165" fontId="9" fillId="9" borderId="1" xfId="0" applyNumberFormat="1" applyFont="1" applyFill="1" applyBorder="1"/>
    <xf numFmtId="4" fontId="7" fillId="0" borderId="1" xfId="0" applyNumberFormat="1" applyFont="1" applyBorder="1" applyAlignment="1">
      <alignment wrapText="1"/>
    </xf>
    <xf numFmtId="0" fontId="13" fillId="0" borderId="1" xfId="0" applyFont="1" applyBorder="1"/>
    <xf numFmtId="0" fontId="9" fillId="8" borderId="1" xfId="0" applyFont="1" applyFill="1" applyBorder="1" applyAlignment="1">
      <alignment wrapText="1"/>
    </xf>
    <xf numFmtId="166" fontId="22" fillId="7" borderId="1" xfId="0" applyNumberFormat="1" applyFont="1" applyFill="1" applyBorder="1"/>
    <xf numFmtId="3" fontId="9" fillId="6" borderId="1" xfId="0" applyNumberFormat="1" applyFont="1" applyFill="1" applyBorder="1"/>
    <xf numFmtId="4" fontId="9" fillId="0" borderId="1" xfId="0" applyNumberFormat="1" applyFont="1" applyBorder="1" applyAlignment="1">
      <alignment wrapText="1"/>
    </xf>
    <xf numFmtId="165" fontId="11" fillId="2" borderId="3" xfId="0" applyNumberFormat="1" applyFont="1" applyFill="1" applyBorder="1" applyAlignment="1">
      <alignment wrapText="1"/>
    </xf>
    <xf numFmtId="165" fontId="9" fillId="0" borderId="3" xfId="0" applyNumberFormat="1" applyFont="1" applyBorder="1"/>
    <xf numFmtId="165" fontId="9" fillId="8" borderId="3" xfId="0" applyNumberFormat="1" applyFont="1" applyFill="1" applyBorder="1"/>
    <xf numFmtId="165" fontId="3" fillId="0" borderId="3" xfId="0" applyNumberFormat="1" applyFont="1" applyBorder="1"/>
    <xf numFmtId="0" fontId="8" fillId="0" borderId="1" xfId="0" applyFont="1" applyBorder="1" applyAlignment="1">
      <alignment horizontal="left" wrapText="1"/>
    </xf>
    <xf numFmtId="0" fontId="18" fillId="0" borderId="0" xfId="0" applyFont="1" applyAlignment="1">
      <alignment wrapText="1"/>
    </xf>
    <xf numFmtId="165" fontId="9" fillId="0" borderId="0" xfId="0" applyNumberFormat="1" applyFont="1"/>
    <xf numFmtId="0" fontId="9" fillId="8" borderId="0" xfId="0" applyFont="1" applyFill="1"/>
    <xf numFmtId="165" fontId="7" fillId="0" borderId="3" xfId="0" applyNumberFormat="1" applyFont="1" applyBorder="1"/>
    <xf numFmtId="165" fontId="10" fillId="0" borderId="1" xfId="0" applyNumberFormat="1" applyFont="1" applyBorder="1"/>
    <xf numFmtId="165" fontId="23" fillId="0" borderId="1" xfId="0" applyNumberFormat="1" applyFont="1" applyBorder="1"/>
    <xf numFmtId="0" fontId="9" fillId="6" borderId="1" xfId="1" applyNumberFormat="1" applyFont="1" applyFill="1" applyBorder="1"/>
    <xf numFmtId="0" fontId="25" fillId="0" borderId="0" xfId="0" applyFont="1"/>
    <xf numFmtId="0" fontId="26" fillId="0" borderId="0" xfId="0" applyFont="1"/>
    <xf numFmtId="4" fontId="0" fillId="5" borderId="0" xfId="0" applyNumberFormat="1" applyFill="1"/>
    <xf numFmtId="0" fontId="27" fillId="0" borderId="0" xfId="0" applyFont="1"/>
    <xf numFmtId="14" fontId="9" fillId="0" borderId="1" xfId="0" applyNumberFormat="1" applyFont="1" applyBorder="1" applyAlignment="1">
      <alignment wrapText="1"/>
    </xf>
    <xf numFmtId="0" fontId="27" fillId="0" borderId="0" xfId="0" applyFont="1" applyAlignment="1">
      <alignment wrapText="1"/>
    </xf>
    <xf numFmtId="166" fontId="9" fillId="0" borderId="1" xfId="0" applyNumberFormat="1" applyFont="1" applyBorder="1"/>
    <xf numFmtId="0" fontId="29" fillId="0" borderId="0" xfId="0" applyFont="1" applyAlignment="1">
      <alignment wrapText="1"/>
    </xf>
    <xf numFmtId="166" fontId="30" fillId="3" borderId="1" xfId="0" applyNumberFormat="1" applyFont="1" applyFill="1" applyBorder="1"/>
    <xf numFmtId="165" fontId="15" fillId="0" borderId="3" xfId="0" applyNumberFormat="1" applyFont="1" applyBorder="1"/>
    <xf numFmtId="165" fontId="31" fillId="0" borderId="1" xfId="0" applyNumberFormat="1" applyFont="1" applyBorder="1"/>
    <xf numFmtId="0" fontId="15" fillId="0" borderId="1" xfId="0" applyFont="1" applyBorder="1"/>
    <xf numFmtId="165" fontId="15" fillId="0" borderId="1" xfId="0" applyNumberFormat="1" applyFont="1" applyBorder="1"/>
    <xf numFmtId="166" fontId="15" fillId="3" borderId="1" xfId="0" applyNumberFormat="1" applyFont="1" applyFill="1" applyBorder="1"/>
    <xf numFmtId="166" fontId="15" fillId="4" borderId="1" xfId="0" applyNumberFormat="1" applyFont="1" applyFill="1" applyBorder="1"/>
    <xf numFmtId="166" fontId="15" fillId="5" borderId="1" xfId="0" applyNumberFormat="1" applyFont="1" applyFill="1" applyBorder="1"/>
    <xf numFmtId="166" fontId="15" fillId="7" borderId="1" xfId="0" applyNumberFormat="1" applyFont="1" applyFill="1" applyBorder="1"/>
    <xf numFmtId="0" fontId="31" fillId="0" borderId="1" xfId="0" applyFont="1" applyBorder="1"/>
    <xf numFmtId="4" fontId="15" fillId="0" borderId="1" xfId="0" applyNumberFormat="1" applyFont="1" applyBorder="1"/>
    <xf numFmtId="0" fontId="32" fillId="0" borderId="0" xfId="0" applyFont="1" applyAlignment="1">
      <alignment vertical="center" wrapText="1"/>
    </xf>
    <xf numFmtId="0" fontId="15" fillId="0" borderId="1" xfId="0" applyFont="1" applyBorder="1" applyAlignment="1">
      <alignment wrapText="1"/>
    </xf>
    <xf numFmtId="166" fontId="13" fillId="7" borderId="1" xfId="0" applyNumberFormat="1" applyFont="1" applyFill="1" applyBorder="1"/>
    <xf numFmtId="0" fontId="34" fillId="0" borderId="0" xfId="0" applyFont="1"/>
    <xf numFmtId="165" fontId="9" fillId="10" borderId="3" xfId="0" applyNumberFormat="1" applyFont="1" applyFill="1" applyBorder="1"/>
    <xf numFmtId="0" fontId="9" fillId="10" borderId="1" xfId="0" applyFont="1" applyFill="1" applyBorder="1"/>
    <xf numFmtId="0" fontId="21" fillId="10" borderId="1" xfId="0" applyFont="1" applyFill="1" applyBorder="1"/>
    <xf numFmtId="165" fontId="9" fillId="10" borderId="1" xfId="0" applyNumberFormat="1" applyFont="1" applyFill="1" applyBorder="1"/>
    <xf numFmtId="166" fontId="9" fillId="10" borderId="1" xfId="0" applyNumberFormat="1" applyFont="1" applyFill="1" applyBorder="1"/>
    <xf numFmtId="0" fontId="12" fillId="10" borderId="1" xfId="0" applyFont="1" applyFill="1" applyBorder="1"/>
    <xf numFmtId="4" fontId="9" fillId="10" borderId="1" xfId="0" applyNumberFormat="1" applyFont="1" applyFill="1" applyBorder="1"/>
    <xf numFmtId="0" fontId="9" fillId="10" borderId="1" xfId="0" applyFont="1" applyFill="1" applyBorder="1" applyAlignment="1">
      <alignment wrapText="1"/>
    </xf>
    <xf numFmtId="165" fontId="13" fillId="0" borderId="3" xfId="0" applyNumberFormat="1" applyFont="1" applyBorder="1"/>
    <xf numFmtId="165" fontId="16" fillId="0" borderId="1" xfId="0" applyNumberFormat="1" applyFont="1" applyBorder="1"/>
    <xf numFmtId="165" fontId="13" fillId="0" borderId="1" xfId="0" applyNumberFormat="1" applyFont="1" applyBorder="1"/>
    <xf numFmtId="165" fontId="13" fillId="0" borderId="1" xfId="0" applyNumberFormat="1" applyFont="1" applyBorder="1" applyAlignment="1">
      <alignment wrapText="1"/>
    </xf>
    <xf numFmtId="166" fontId="13" fillId="0" borderId="1" xfId="0" applyNumberFormat="1" applyFont="1" applyBorder="1"/>
    <xf numFmtId="0" fontId="16" fillId="0" borderId="1" xfId="0" applyFont="1" applyBorder="1"/>
    <xf numFmtId="3" fontId="13" fillId="0" borderId="1" xfId="0" applyNumberFormat="1" applyFont="1" applyBorder="1"/>
    <xf numFmtId="4" fontId="13" fillId="0" borderId="1" xfId="0" applyNumberFormat="1" applyFont="1" applyBorder="1" applyAlignment="1">
      <alignment wrapText="1"/>
    </xf>
    <xf numFmtId="0" fontId="6" fillId="0" borderId="0" xfId="0" applyFont="1"/>
    <xf numFmtId="0" fontId="33" fillId="0" borderId="0" xfId="0" applyFont="1" applyAlignment="1">
      <alignment wrapText="1"/>
    </xf>
    <xf numFmtId="0" fontId="35" fillId="0" borderId="0" xfId="0" applyFont="1"/>
    <xf numFmtId="0" fontId="15" fillId="6" borderId="1" xfId="0" applyFont="1" applyFill="1" applyBorder="1"/>
    <xf numFmtId="0" fontId="1" fillId="0" borderId="0" xfId="0" applyFont="1"/>
    <xf numFmtId="0" fontId="1" fillId="0" borderId="0" xfId="0" applyFont="1" applyAlignment="1">
      <alignment horizontal="right"/>
    </xf>
    <xf numFmtId="165" fontId="9" fillId="11" borderId="3" xfId="0" applyNumberFormat="1" applyFont="1" applyFill="1" applyBorder="1"/>
    <xf numFmtId="165" fontId="12" fillId="11" borderId="1" xfId="0" applyNumberFormat="1" applyFont="1" applyFill="1" applyBorder="1"/>
    <xf numFmtId="0" fontId="9" fillId="11" borderId="1" xfId="0" applyFont="1" applyFill="1" applyBorder="1" applyAlignment="1">
      <alignment wrapText="1"/>
    </xf>
    <xf numFmtId="0" fontId="9" fillId="11" borderId="1" xfId="0" applyFont="1" applyFill="1" applyBorder="1"/>
    <xf numFmtId="165" fontId="9" fillId="11" borderId="1" xfId="0" applyNumberFormat="1" applyFont="1" applyFill="1" applyBorder="1"/>
    <xf numFmtId="4" fontId="9" fillId="11" borderId="1" xfId="0" applyNumberFormat="1" applyFont="1" applyFill="1" applyBorder="1"/>
    <xf numFmtId="165" fontId="9" fillId="0" borderId="4" xfId="0" applyNumberFormat="1" applyFont="1" applyBorder="1"/>
    <xf numFmtId="165" fontId="12" fillId="0" borderId="5" xfId="0" applyNumberFormat="1" applyFont="1" applyBorder="1"/>
    <xf numFmtId="0" fontId="9" fillId="0" borderId="5" xfId="0" applyFont="1" applyBorder="1"/>
    <xf numFmtId="165" fontId="9" fillId="0" borderId="5" xfId="0" applyNumberFormat="1" applyFont="1" applyBorder="1"/>
    <xf numFmtId="166" fontId="9" fillId="3" borderId="5" xfId="0" applyNumberFormat="1" applyFont="1" applyFill="1" applyBorder="1"/>
    <xf numFmtId="166" fontId="9" fillId="4" borderId="5" xfId="0" applyNumberFormat="1" applyFont="1" applyFill="1" applyBorder="1"/>
    <xf numFmtId="166" fontId="9" fillId="5" borderId="5" xfId="0" applyNumberFormat="1" applyFont="1" applyFill="1" applyBorder="1"/>
    <xf numFmtId="166" fontId="9" fillId="7" borderId="5" xfId="0" applyNumberFormat="1" applyFont="1" applyFill="1" applyBorder="1"/>
    <xf numFmtId="0" fontId="12" fillId="0" borderId="5" xfId="0" applyFont="1" applyBorder="1"/>
    <xf numFmtId="4" fontId="9" fillId="0" borderId="5" xfId="0" applyNumberFormat="1" applyFont="1" applyBorder="1"/>
    <xf numFmtId="0" fontId="1" fillId="0" borderId="1" xfId="0" applyFont="1" applyBorder="1"/>
    <xf numFmtId="0" fontId="0" fillId="0" borderId="1" xfId="0" applyBorder="1"/>
    <xf numFmtId="165" fontId="7" fillId="0" borderId="1" xfId="0" applyNumberFormat="1" applyFont="1" applyBorder="1" applyAlignment="1">
      <alignment wrapText="1"/>
    </xf>
    <xf numFmtId="165" fontId="7" fillId="0" borderId="5" xfId="0" applyNumberFormat="1" applyFont="1" applyBorder="1"/>
    <xf numFmtId="4" fontId="9" fillId="6" borderId="5" xfId="0" applyNumberFormat="1" applyFont="1" applyFill="1" applyBorder="1"/>
    <xf numFmtId="165" fontId="12" fillId="3" borderId="5" xfId="0" applyNumberFormat="1" applyFont="1" applyFill="1" applyBorder="1"/>
    <xf numFmtId="165" fontId="16" fillId="3" borderId="1" xfId="0" applyNumberFormat="1" applyFont="1" applyFill="1" applyBorder="1"/>
    <xf numFmtId="0" fontId="9" fillId="0" borderId="0" xfId="0" applyFont="1"/>
    <xf numFmtId="165" fontId="12" fillId="10" borderId="1" xfId="0" applyNumberFormat="1" applyFont="1" applyFill="1" applyBorder="1"/>
    <xf numFmtId="0" fontId="33" fillId="0" borderId="0" xfId="0" applyFont="1"/>
  </cellXfs>
  <cellStyles count="2">
    <cellStyle name="Standard" xfId="0" builtinId="0"/>
    <cellStyle name="Währung" xfId="1" builtinId="4"/>
  </cellStyles>
  <dxfs count="21">
    <dxf>
      <font>
        <b val="0"/>
        <i val="0"/>
        <strike val="0"/>
        <condense val="0"/>
        <extend val="0"/>
        <outline val="0"/>
        <shadow val="0"/>
        <u val="none"/>
        <vertAlign val="baseline"/>
        <sz val="10"/>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4" formatCode="#,##0.00"/>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5" formatCode="yyyy\-mm\-dd;@"/>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6" formatCode="#,##0.00\ &quot;€&quot;"/>
      <fill>
        <patternFill patternType="solid">
          <fgColor indexed="64"/>
          <bgColor rgb="FF00B0F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6" formatCode="#,##0.00\ &quot;€&quot;"/>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6" formatCode="#,##0.00\ &quot;€&quot;"/>
      <fill>
        <patternFill patternType="solid">
          <fgColor indexed="64"/>
          <bgColor rgb="FF92D05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6" formatCode="#,##0.00\ &quot;€&quot;"/>
      <fill>
        <patternFill patternType="solid">
          <fgColor indexed="64"/>
          <bgColor rgb="FFFFC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5"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5"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5"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5"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Calibri"/>
        <family val="2"/>
        <scheme val="none"/>
      </font>
      <numFmt numFmtId="165"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5" formatCode="yyyy\-mm\-dd;@"/>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Medium9"/>
  <colors>
    <mruColors>
      <color rgb="FFFF9999"/>
      <color rgb="FFF986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63</xdr:row>
      <xdr:rowOff>0</xdr:rowOff>
    </xdr:from>
    <xdr:to>
      <xdr:col>16</xdr:col>
      <xdr:colOff>304800</xdr:colOff>
      <xdr:row>63</xdr:row>
      <xdr:rowOff>308336</xdr:rowOff>
    </xdr:to>
    <xdr:sp macro="" textlink="">
      <xdr:nvSpPr>
        <xdr:cNvPr id="4101" name="AutoShape 5">
          <a:extLst>
            <a:ext uri="{FF2B5EF4-FFF2-40B4-BE49-F238E27FC236}">
              <a16:creationId xmlns:a16="http://schemas.microsoft.com/office/drawing/2014/main" id="{ABC18E0A-485E-5D95-EB1E-D0AE56C62FC3}"/>
            </a:ext>
          </a:extLst>
        </xdr:cNvPr>
        <xdr:cNvSpPr>
          <a:spLocks noChangeAspect="1" noChangeArrowheads="1"/>
        </xdr:cNvSpPr>
      </xdr:nvSpPr>
      <xdr:spPr bwMode="auto">
        <a:xfrm>
          <a:off x="17430750" y="1365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nna Ollmer" id="{27C5E502-8439-4021-B6D4-155285A89B4E}" userId="08e3c30d3f25401b"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4AB817-049C-46E1-B378-B0C45561AC9F}" name="Tabelle1" displayName="Tabelle1" ref="A1:R83" totalsRowShown="0" headerRowDxfId="20" dataDxfId="19" tableBorderDxfId="18">
  <autoFilter ref="A1:R83" xr:uid="{FA4AB817-049C-46E1-B378-B0C45561AC9F}"/>
  <sortState xmlns:xlrd2="http://schemas.microsoft.com/office/spreadsheetml/2017/richdata2" ref="A2:R74">
    <sortCondition ref="A1:A74"/>
  </sortState>
  <tableColumns count="18">
    <tableColumn id="1" xr3:uid="{8DE3AE09-54BF-46A7-B069-5976828055EA}" name="Date" dataDxfId="17"/>
    <tableColumn id="2" xr3:uid="{F7E9101E-27F2-47B2-A67B-918BAD776A30}" name="Unfallnummer _x000a_(Datum_Kennzeichen)" dataDxfId="16"/>
    <tableColumn id="3" xr3:uid="{D853C4C2-6910-4B77-805E-9B4EC62B9457}" name="Fahrer" dataDxfId="15"/>
    <tableColumn id="4" xr3:uid="{76115E96-1CF8-4D38-A827-35FEC94BC9F4}" name="Schadensnummer" dataDxfId="14"/>
    <tableColumn id="5" xr3:uid="{D7FDD3BA-57AB-4108-A669-4B617087BAF2}" name="Polizeiliches _x000a_Aktenzeichen" dataDxfId="13"/>
    <tableColumn id="6" xr3:uid="{AEA65229-4CC1-458C-92CF-42A3918BF3D5}" name="Vorgang _x000a_angelegt" dataDxfId="12"/>
    <tableColumn id="7" xr3:uid="{C6B19350-0B76-4D18-9065-56858FAFF056}" name="Fahrerformular _x000a_vollständig" dataDxfId="11"/>
    <tableColumn id="8" xr3:uid="{18EFC062-8A25-4008-BDF9-3C5BCA75463D}" name="Meldung an Partner _x000a_abgegeben" dataDxfId="10"/>
    <tableColumn id="9" xr3:uid="{54D2FD92-12CB-4B99-9262-69D863A3526B}" name="Deckungszusage _x000a_erhalten" dataDxfId="9"/>
    <tableColumn id="10" xr3:uid="{EEE0DC66-F9B3-4683-9DA9-CFB2A7B527A4}" name="Kostenübernahme _x000a_eigene Versicherung" dataDxfId="8"/>
    <tableColumn id="11" xr3:uid="{95686E42-F568-4F66-97BB-265A7C4153D6}" name="Kostenübernahme _x000a_fremde Versicherung" dataDxfId="7"/>
    <tableColumn id="12" xr3:uid="{A4599335-BADF-4620-A0B8-629CB4F5B778}" name="Kosten Alfamile" dataDxfId="6"/>
    <tableColumn id="13" xr3:uid="{A6C4A961-6463-4407-98E0-906FCF5E0980}" name="Regress _x000a_Fahrer" dataDxfId="5"/>
    <tableColumn id="14" xr3:uid="{69BC83F7-F899-41D4-B7D4-181F4A48F7BE}" name="Offen/_x000a_geschlossen" dataDxfId="4"/>
    <tableColumn id="15" xr3:uid="{D50B1FB1-6ED0-451E-A0CB-9660701356E9}" name="Heute" dataDxfId="3"/>
    <tableColumn id="16" xr3:uid="{B8E1CBD9-9086-4BA9-8730-335560024FC5}" name="Alter/_x000a_Tage:_x000a_&lt;90" dataDxfId="2"/>
    <tableColumn id="17" xr3:uid="{A05BD40A-2D58-4F7A-866E-27B9C04F36F3}" name="Kurzbeschreibung" dataDxfId="1"/>
    <tableColumn id="18" xr3:uid="{3480D6C8-1607-43A2-969F-9FFEDB5AA110}" name="Kommentare" dataDxfId="0"/>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 dT="2024-02-22T08:21:49.55" personId="{27C5E502-8439-4021-B6D4-155285A89B4E}" id="{2207821F-7700-42EB-81D7-BACC9541AF2E}">
    <text xml:space="preserve">Kein Schaden wurde gemeldet </text>
  </threadedComment>
  <threadedComment ref="L15" dT="2024-02-22T08:22:23.84" personId="{27C5E502-8439-4021-B6D4-155285A89B4E}" id="{B10EB24C-DB3A-43DD-9EC3-9A1F4B389674}">
    <text xml:space="preserve">Anfallenden Kosten von Mercedes wegen Bearbeitung
</text>
  </threadedComment>
  <threadedComment ref="D21" dT="2024-02-19T07:40:57.82" personId="{27C5E502-8439-4021-B6D4-155285A89B4E}" id="{616589BE-4DDA-44F8-8C7D-1F8CF87343EE}">
    <text xml:space="preserve">Da uns kein Schaden gemeldet wurde haben wir keine Schadensmeldung gemacht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E729-E663-4265-BD8D-A0F154076591}">
  <sheetPr>
    <tabColor rgb="FF00B050"/>
  </sheetPr>
  <dimension ref="A1:R87"/>
  <sheetViews>
    <sheetView tabSelected="1" zoomScale="70" zoomScaleNormal="70" workbookViewId="0">
      <pane ySplit="1" topLeftCell="A2" activePane="bottomLeft" state="frozen"/>
      <selection pane="bottomLeft" sqref="A1:R1"/>
    </sheetView>
  </sheetViews>
  <sheetFormatPr baseColWidth="10" defaultColWidth="23.7109375" defaultRowHeight="12.75" x14ac:dyDescent="0.2"/>
  <cols>
    <col min="1" max="1" width="12.7109375" style="5" customWidth="1"/>
    <col min="2" max="2" width="31.28515625" style="5" customWidth="1"/>
    <col min="3" max="3" width="20" style="1" customWidth="1"/>
    <col min="4" max="4" width="35.5703125" style="1" customWidth="1"/>
    <col min="5" max="5" width="23" style="1" customWidth="1"/>
    <col min="6" max="6" width="16.140625" style="5" customWidth="1"/>
    <col min="7" max="7" width="21.28515625" style="1" customWidth="1"/>
    <col min="8" max="8" width="21" style="1" customWidth="1"/>
    <col min="9" max="9" width="18.42578125" style="1" customWidth="1"/>
    <col min="10" max="10" width="15.7109375" style="1" customWidth="1"/>
    <col min="11" max="11" width="15" style="1" customWidth="1"/>
    <col min="12" max="12" width="14.85546875" style="1" customWidth="1"/>
    <col min="13" max="13" width="11.7109375" style="1" customWidth="1"/>
    <col min="14" max="14" width="8.140625" style="1" customWidth="1"/>
    <col min="15" max="15" width="11" style="1" customWidth="1"/>
    <col min="16" max="16" width="10" style="1" customWidth="1"/>
    <col min="17" max="17" width="89" style="1" customWidth="1"/>
    <col min="18" max="18" width="127" style="1" customWidth="1"/>
    <col min="19" max="16384" width="23.7109375" style="1"/>
  </cols>
  <sheetData>
    <row r="1" spans="1:18" ht="51" x14ac:dyDescent="0.2">
      <c r="A1" s="63" t="s">
        <v>1</v>
      </c>
      <c r="B1" s="16" t="s">
        <v>2</v>
      </c>
      <c r="C1" s="17" t="s">
        <v>0</v>
      </c>
      <c r="D1" s="17" t="s">
        <v>3</v>
      </c>
      <c r="E1" s="18" t="s">
        <v>4</v>
      </c>
      <c r="F1" s="16" t="s">
        <v>5</v>
      </c>
      <c r="G1" s="18" t="s">
        <v>6</v>
      </c>
      <c r="H1" s="18" t="s">
        <v>7</v>
      </c>
      <c r="I1" s="18" t="s">
        <v>8</v>
      </c>
      <c r="J1" s="18" t="s">
        <v>9</v>
      </c>
      <c r="K1" s="18" t="s">
        <v>10</v>
      </c>
      <c r="L1" s="18" t="s">
        <v>11</v>
      </c>
      <c r="M1" s="18" t="s">
        <v>12</v>
      </c>
      <c r="N1" s="18" t="s">
        <v>13</v>
      </c>
      <c r="O1" s="19" t="s">
        <v>14</v>
      </c>
      <c r="P1" s="19" t="s">
        <v>15</v>
      </c>
      <c r="Q1" s="19" t="s">
        <v>16</v>
      </c>
      <c r="R1" s="19" t="s">
        <v>17</v>
      </c>
    </row>
    <row r="2" spans="1:18" ht="105.75" customHeight="1" x14ac:dyDescent="0.2">
      <c r="A2" s="64">
        <v>44904</v>
      </c>
      <c r="B2" s="21" t="s">
        <v>18</v>
      </c>
      <c r="C2" s="29" t="s">
        <v>19</v>
      </c>
      <c r="D2" s="22" t="s">
        <v>20</v>
      </c>
      <c r="E2" s="22"/>
      <c r="F2" s="20">
        <v>45404</v>
      </c>
      <c r="G2" s="48" t="s">
        <v>21</v>
      </c>
      <c r="H2" s="44">
        <v>44938</v>
      </c>
      <c r="I2" s="22"/>
      <c r="J2" s="23"/>
      <c r="K2" s="24"/>
      <c r="L2" s="34">
        <v>4120.5200000000004</v>
      </c>
      <c r="M2" s="26"/>
      <c r="N2" s="27" t="s">
        <v>22</v>
      </c>
      <c r="O2" s="20">
        <f t="shared" ref="O2:O18" ca="1" si="0">TODAY()</f>
        <v>46099</v>
      </c>
      <c r="P2" s="28">
        <f ca="1">DATEDIF(A2,O2,"d")</f>
        <v>1195</v>
      </c>
      <c r="Q2" s="29" t="s">
        <v>23</v>
      </c>
      <c r="R2" s="29" t="s">
        <v>24</v>
      </c>
    </row>
    <row r="3" spans="1:18" ht="35.25" customHeight="1" x14ac:dyDescent="0.2">
      <c r="A3" s="64">
        <v>44931</v>
      </c>
      <c r="B3" s="21" t="s">
        <v>25</v>
      </c>
      <c r="C3" s="22" t="s">
        <v>26</v>
      </c>
      <c r="D3" s="22" t="s">
        <v>27</v>
      </c>
      <c r="E3" s="53" t="s">
        <v>21</v>
      </c>
      <c r="F3" s="20">
        <v>45345</v>
      </c>
      <c r="G3" s="48" t="s">
        <v>21</v>
      </c>
      <c r="H3" s="20">
        <v>44965</v>
      </c>
      <c r="I3" s="22"/>
      <c r="J3" s="23"/>
      <c r="K3" s="24"/>
      <c r="L3" s="25">
        <v>500</v>
      </c>
      <c r="M3" s="26"/>
      <c r="N3" s="27" t="s">
        <v>28</v>
      </c>
      <c r="O3" s="20">
        <f t="shared" ca="1" si="0"/>
        <v>46099</v>
      </c>
      <c r="P3" s="28">
        <v>448</v>
      </c>
      <c r="Q3" s="68" t="s">
        <v>29</v>
      </c>
      <c r="R3" s="46" t="s">
        <v>30</v>
      </c>
    </row>
    <row r="4" spans="1:18" s="15" customFormat="1" ht="88.5" customHeight="1" x14ac:dyDescent="0.25">
      <c r="A4" s="64">
        <v>45100</v>
      </c>
      <c r="B4" s="21" t="s">
        <v>31</v>
      </c>
      <c r="C4" s="22" t="s">
        <v>32</v>
      </c>
      <c r="D4" s="75" t="s">
        <v>33</v>
      </c>
      <c r="E4" s="22" t="s">
        <v>34</v>
      </c>
      <c r="F4" s="20">
        <v>45105</v>
      </c>
      <c r="G4" s="48" t="s">
        <v>21</v>
      </c>
      <c r="H4" s="20">
        <v>45105</v>
      </c>
      <c r="I4" s="20"/>
      <c r="J4" s="23"/>
      <c r="K4" s="24"/>
      <c r="L4" s="34">
        <v>20504.2</v>
      </c>
      <c r="M4" s="26"/>
      <c r="N4" s="27" t="s">
        <v>22</v>
      </c>
      <c r="O4" s="20">
        <f t="shared" ca="1" si="0"/>
        <v>46099</v>
      </c>
      <c r="P4" s="28">
        <f ca="1">DATEDIF(A4,O4,"d")</f>
        <v>999</v>
      </c>
      <c r="Q4" s="22" t="s">
        <v>35</v>
      </c>
      <c r="R4" s="36" t="s">
        <v>36</v>
      </c>
    </row>
    <row r="5" spans="1:18" ht="31.5" customHeight="1" x14ac:dyDescent="0.2">
      <c r="A5" s="64">
        <v>45189</v>
      </c>
      <c r="B5" s="21" t="s">
        <v>37</v>
      </c>
      <c r="C5" s="22" t="s">
        <v>38</v>
      </c>
      <c r="D5" s="22" t="s">
        <v>39</v>
      </c>
      <c r="E5" s="53" t="s">
        <v>21</v>
      </c>
      <c r="F5" s="20">
        <v>45335</v>
      </c>
      <c r="G5" s="48" t="s">
        <v>21</v>
      </c>
      <c r="H5" s="20">
        <v>45335</v>
      </c>
      <c r="I5" s="20"/>
      <c r="J5" s="23">
        <v>2840.86</v>
      </c>
      <c r="K5" s="24"/>
      <c r="L5" s="25">
        <v>1000</v>
      </c>
      <c r="M5" s="26"/>
      <c r="N5" s="27" t="s">
        <v>28</v>
      </c>
      <c r="O5" s="20">
        <f t="shared" ca="1" si="0"/>
        <v>46099</v>
      </c>
      <c r="P5" s="28">
        <v>210</v>
      </c>
      <c r="Q5" s="22" t="s">
        <v>40</v>
      </c>
      <c r="R5" s="46" t="s">
        <v>41</v>
      </c>
    </row>
    <row r="6" spans="1:18" ht="31.5" customHeight="1" x14ac:dyDescent="0.3">
      <c r="A6" s="64">
        <v>45192</v>
      </c>
      <c r="B6" s="21" t="s">
        <v>42</v>
      </c>
      <c r="C6" s="22" t="s">
        <v>43</v>
      </c>
      <c r="D6" s="78" t="s">
        <v>44</v>
      </c>
      <c r="E6" s="53"/>
      <c r="F6" s="20"/>
      <c r="G6" s="48"/>
      <c r="H6" s="20"/>
      <c r="I6" s="20"/>
      <c r="J6" s="23"/>
      <c r="K6" s="24"/>
      <c r="L6" s="25"/>
      <c r="M6" s="26"/>
      <c r="N6" s="27"/>
      <c r="O6" s="20"/>
      <c r="P6" s="37"/>
      <c r="Q6" s="80" t="s">
        <v>45</v>
      </c>
      <c r="R6" s="79" t="s">
        <v>46</v>
      </c>
    </row>
    <row r="7" spans="1:18" ht="63.75" x14ac:dyDescent="0.2">
      <c r="A7" s="64">
        <v>45240</v>
      </c>
      <c r="B7" s="21" t="s">
        <v>47</v>
      </c>
      <c r="C7" s="22" t="s">
        <v>38</v>
      </c>
      <c r="D7" s="22" t="s">
        <v>48</v>
      </c>
      <c r="E7" s="22" t="s">
        <v>49</v>
      </c>
      <c r="F7" s="20">
        <v>45240</v>
      </c>
      <c r="G7" s="48" t="s">
        <v>21</v>
      </c>
      <c r="H7" s="20">
        <v>45240</v>
      </c>
      <c r="I7" s="20"/>
      <c r="J7" s="23"/>
      <c r="K7" s="24"/>
      <c r="L7" s="34">
        <v>13000</v>
      </c>
      <c r="M7" s="26"/>
      <c r="N7" s="27" t="s">
        <v>22</v>
      </c>
      <c r="O7" s="20">
        <f t="shared" ca="1" si="0"/>
        <v>46099</v>
      </c>
      <c r="P7" s="28">
        <f ca="1">DATEDIF(A7,O7,"d")</f>
        <v>859</v>
      </c>
      <c r="Q7" s="29" t="s">
        <v>50</v>
      </c>
      <c r="R7" s="29" t="s">
        <v>51</v>
      </c>
    </row>
    <row r="8" spans="1:18" ht="65.25" customHeight="1" x14ac:dyDescent="0.2">
      <c r="A8" s="64">
        <v>45247</v>
      </c>
      <c r="B8" s="21" t="s">
        <v>52</v>
      </c>
      <c r="C8" s="22" t="s">
        <v>53</v>
      </c>
      <c r="D8" s="22" t="s">
        <v>54</v>
      </c>
      <c r="E8" s="53" t="s">
        <v>21</v>
      </c>
      <c r="F8" s="20">
        <v>45247</v>
      </c>
      <c r="G8" s="48" t="s">
        <v>21</v>
      </c>
      <c r="H8" s="20">
        <v>45271</v>
      </c>
      <c r="I8" s="20"/>
      <c r="J8" s="23" t="s">
        <v>55</v>
      </c>
      <c r="K8" s="24"/>
      <c r="L8" s="25"/>
      <c r="M8" s="26"/>
      <c r="N8" s="27" t="s">
        <v>22</v>
      </c>
      <c r="O8" s="20">
        <f t="shared" ca="1" si="0"/>
        <v>46099</v>
      </c>
      <c r="P8" s="28">
        <f ca="1">DATEDIF(A8,O8,"d")</f>
        <v>852</v>
      </c>
      <c r="Q8" s="22"/>
      <c r="R8" s="46" t="s">
        <v>56</v>
      </c>
    </row>
    <row r="9" spans="1:18" ht="40.5" customHeight="1" x14ac:dyDescent="0.2">
      <c r="A9" s="64">
        <v>45252</v>
      </c>
      <c r="B9" s="21" t="s">
        <v>57</v>
      </c>
      <c r="C9" s="22" t="s">
        <v>58</v>
      </c>
      <c r="D9" s="22" t="s">
        <v>59</v>
      </c>
      <c r="E9" s="53" t="s">
        <v>60</v>
      </c>
      <c r="F9" s="20">
        <v>45268</v>
      </c>
      <c r="G9" s="48" t="s">
        <v>21</v>
      </c>
      <c r="H9" s="20">
        <v>45268</v>
      </c>
      <c r="I9" s="20"/>
      <c r="J9" s="23"/>
      <c r="K9" s="24"/>
      <c r="L9" s="25">
        <v>750</v>
      </c>
      <c r="M9" s="26"/>
      <c r="N9" s="27" t="s">
        <v>28</v>
      </c>
      <c r="O9" s="20">
        <f t="shared" ca="1" si="0"/>
        <v>46099</v>
      </c>
      <c r="P9" s="28">
        <v>152</v>
      </c>
      <c r="Q9" s="22"/>
      <c r="R9" s="46" t="s">
        <v>61</v>
      </c>
    </row>
    <row r="10" spans="1:18" ht="43.5" customHeight="1" x14ac:dyDescent="0.2">
      <c r="A10" s="66">
        <v>45258</v>
      </c>
      <c r="B10" s="10" t="s">
        <v>62</v>
      </c>
      <c r="C10" s="2" t="s">
        <v>63</v>
      </c>
      <c r="D10" s="2" t="s">
        <v>64</v>
      </c>
      <c r="E10" s="2" t="s">
        <v>65</v>
      </c>
      <c r="F10" s="3"/>
      <c r="G10" s="48" t="s">
        <v>21</v>
      </c>
      <c r="H10" s="3"/>
      <c r="I10" s="3"/>
      <c r="J10" s="6"/>
      <c r="K10" s="7"/>
      <c r="L10" s="8"/>
      <c r="M10" s="9"/>
      <c r="N10" s="27" t="s">
        <v>28</v>
      </c>
      <c r="O10" s="3">
        <f t="shared" ca="1" si="0"/>
        <v>46099</v>
      </c>
      <c r="P10" s="14">
        <f ca="1">DATEDIF(A10,O10,"d")</f>
        <v>841</v>
      </c>
      <c r="Q10" s="2" t="s">
        <v>66</v>
      </c>
      <c r="R10" s="4" t="s">
        <v>67</v>
      </c>
    </row>
    <row r="11" spans="1:18" ht="61.5" customHeight="1" x14ac:dyDescent="0.2">
      <c r="A11" s="64">
        <v>45263</v>
      </c>
      <c r="B11" s="21" t="s">
        <v>68</v>
      </c>
      <c r="C11" s="22" t="s">
        <v>69</v>
      </c>
      <c r="D11" s="22" t="s">
        <v>70</v>
      </c>
      <c r="E11" s="22" t="s">
        <v>71</v>
      </c>
      <c r="F11" s="20">
        <v>45390</v>
      </c>
      <c r="G11" s="48" t="s">
        <v>21</v>
      </c>
      <c r="H11" s="20"/>
      <c r="I11" s="20"/>
      <c r="J11" s="23"/>
      <c r="K11" s="24"/>
      <c r="L11" s="34" t="s">
        <v>72</v>
      </c>
      <c r="M11" s="30">
        <v>30</v>
      </c>
      <c r="N11" s="27" t="s">
        <v>28</v>
      </c>
      <c r="O11" s="20">
        <f t="shared" ca="1" si="0"/>
        <v>46099</v>
      </c>
      <c r="P11" s="28">
        <v>125</v>
      </c>
      <c r="Q11" s="38" t="s">
        <v>73</v>
      </c>
      <c r="R11" s="29" t="s">
        <v>74</v>
      </c>
    </row>
    <row r="12" spans="1:18" x14ac:dyDescent="0.2">
      <c r="A12" s="64">
        <v>45268</v>
      </c>
      <c r="B12" s="21" t="s">
        <v>75</v>
      </c>
      <c r="C12" s="22" t="s">
        <v>76</v>
      </c>
      <c r="D12" s="22" t="s">
        <v>77</v>
      </c>
      <c r="E12" s="53" t="s">
        <v>21</v>
      </c>
      <c r="F12" s="20">
        <v>45242</v>
      </c>
      <c r="G12" s="48" t="s">
        <v>21</v>
      </c>
      <c r="H12" s="20">
        <v>45242</v>
      </c>
      <c r="I12" s="20"/>
      <c r="J12" s="23"/>
      <c r="K12" s="24"/>
      <c r="L12" s="25"/>
      <c r="M12" s="26"/>
      <c r="N12" s="27" t="s">
        <v>28</v>
      </c>
      <c r="O12" s="20">
        <f t="shared" ca="1" si="0"/>
        <v>46099</v>
      </c>
      <c r="P12" s="28">
        <v>131</v>
      </c>
      <c r="Q12" s="22"/>
      <c r="R12" s="47" t="s">
        <v>78</v>
      </c>
    </row>
    <row r="13" spans="1:18" ht="48.75" customHeight="1" x14ac:dyDescent="0.2">
      <c r="A13" s="66">
        <v>45275</v>
      </c>
      <c r="B13" s="10" t="s">
        <v>79</v>
      </c>
      <c r="C13" s="2" t="s">
        <v>80</v>
      </c>
      <c r="D13" s="13" t="s">
        <v>81</v>
      </c>
      <c r="E13" s="54" t="s">
        <v>21</v>
      </c>
      <c r="F13" s="3">
        <v>45301</v>
      </c>
      <c r="G13" s="48" t="s">
        <v>21</v>
      </c>
      <c r="H13" s="3"/>
      <c r="I13" s="3"/>
      <c r="J13" s="6">
        <v>250</v>
      </c>
      <c r="K13" s="7">
        <v>0</v>
      </c>
      <c r="L13" s="11">
        <v>300</v>
      </c>
      <c r="M13" s="12">
        <v>0</v>
      </c>
      <c r="N13" s="27" t="s">
        <v>28</v>
      </c>
      <c r="O13" s="3">
        <f t="shared" ca="1" si="0"/>
        <v>46099</v>
      </c>
      <c r="P13" s="14">
        <v>74</v>
      </c>
      <c r="Q13" s="2" t="s">
        <v>82</v>
      </c>
      <c r="R13" s="4" t="s">
        <v>83</v>
      </c>
    </row>
    <row r="14" spans="1:18" ht="26.25" customHeight="1" x14ac:dyDescent="0.25">
      <c r="A14" s="64">
        <v>45282</v>
      </c>
      <c r="B14" s="21" t="s">
        <v>84</v>
      </c>
      <c r="C14" s="22" t="s">
        <v>85</v>
      </c>
      <c r="D14" s="22" t="s">
        <v>86</v>
      </c>
      <c r="E14" s="53" t="s">
        <v>21</v>
      </c>
      <c r="F14" s="20">
        <v>45331</v>
      </c>
      <c r="G14" s="48" t="s">
        <v>21</v>
      </c>
      <c r="H14" s="20"/>
      <c r="I14" s="20"/>
      <c r="J14" s="23"/>
      <c r="K14" s="24"/>
      <c r="L14" s="77">
        <v>4205.07</v>
      </c>
      <c r="M14" s="26"/>
      <c r="N14" s="27" t="s">
        <v>28</v>
      </c>
      <c r="O14" s="20">
        <f t="shared" ca="1" si="0"/>
        <v>46099</v>
      </c>
      <c r="P14" s="28">
        <v>192</v>
      </c>
      <c r="Q14" s="22"/>
      <c r="R14" s="46" t="s">
        <v>87</v>
      </c>
    </row>
    <row r="15" spans="1:18" ht="12.75" customHeight="1" x14ac:dyDescent="0.2">
      <c r="A15" s="64">
        <v>45295</v>
      </c>
      <c r="B15" s="21" t="s">
        <v>88</v>
      </c>
      <c r="C15" s="22" t="s">
        <v>89</v>
      </c>
      <c r="D15" s="53"/>
      <c r="E15" s="22" t="s">
        <v>90</v>
      </c>
      <c r="F15" s="20">
        <v>45344</v>
      </c>
      <c r="G15" s="48" t="s">
        <v>21</v>
      </c>
      <c r="H15" s="56"/>
      <c r="I15" s="69"/>
      <c r="J15" s="23"/>
      <c r="K15" s="24"/>
      <c r="L15" s="40">
        <v>30</v>
      </c>
      <c r="M15" s="26">
        <v>0</v>
      </c>
      <c r="N15" s="27" t="s">
        <v>28</v>
      </c>
      <c r="O15" s="20">
        <f t="shared" ca="1" si="0"/>
        <v>46099</v>
      </c>
      <c r="P15" s="28">
        <v>84</v>
      </c>
      <c r="Q15" s="22"/>
      <c r="R15" s="36" t="s">
        <v>91</v>
      </c>
    </row>
    <row r="16" spans="1:18" ht="16.5" customHeight="1" x14ac:dyDescent="0.2">
      <c r="A16" s="64">
        <v>45295</v>
      </c>
      <c r="B16" s="21" t="s">
        <v>92</v>
      </c>
      <c r="C16" s="22" t="s">
        <v>38</v>
      </c>
      <c r="D16" s="143" t="s">
        <v>21</v>
      </c>
      <c r="E16" s="22" t="s">
        <v>90</v>
      </c>
      <c r="F16" s="20">
        <v>45381</v>
      </c>
      <c r="G16" s="48" t="s">
        <v>21</v>
      </c>
      <c r="H16" s="20" t="s">
        <v>21</v>
      </c>
      <c r="I16" s="20" t="s">
        <v>21</v>
      </c>
      <c r="J16" s="23"/>
      <c r="K16" s="24"/>
      <c r="L16" s="34">
        <v>30</v>
      </c>
      <c r="M16" s="30">
        <v>30</v>
      </c>
      <c r="N16" s="27" t="s">
        <v>28</v>
      </c>
      <c r="O16" s="20">
        <f t="shared" ca="1" si="0"/>
        <v>46099</v>
      </c>
      <c r="P16" s="28">
        <v>120</v>
      </c>
      <c r="Q16" s="38" t="s">
        <v>73</v>
      </c>
      <c r="R16" s="47" t="s">
        <v>93</v>
      </c>
    </row>
    <row r="17" spans="1:18" ht="51" customHeight="1" x14ac:dyDescent="0.2">
      <c r="A17" s="64">
        <v>45308</v>
      </c>
      <c r="B17" s="21" t="s">
        <v>94</v>
      </c>
      <c r="C17" s="22" t="s">
        <v>95</v>
      </c>
      <c r="D17" s="22" t="s">
        <v>96</v>
      </c>
      <c r="E17" s="53" t="s">
        <v>21</v>
      </c>
      <c r="F17" s="20">
        <v>45309</v>
      </c>
      <c r="G17" s="48" t="s">
        <v>21</v>
      </c>
      <c r="H17" s="20">
        <v>45309</v>
      </c>
      <c r="I17" s="20"/>
      <c r="J17" s="83">
        <v>1088</v>
      </c>
      <c r="K17" s="24">
        <v>1000</v>
      </c>
      <c r="L17" s="25">
        <f>1088</f>
        <v>1088</v>
      </c>
      <c r="M17" s="30">
        <v>1088</v>
      </c>
      <c r="N17" s="27" t="s">
        <v>22</v>
      </c>
      <c r="O17" s="20">
        <f t="shared" ca="1" si="0"/>
        <v>46099</v>
      </c>
      <c r="P17" s="28">
        <f ca="1">DATEDIF(A17,O17,"d")</f>
        <v>791</v>
      </c>
      <c r="Q17" s="67" t="s">
        <v>97</v>
      </c>
      <c r="R17" s="22" t="s">
        <v>98</v>
      </c>
    </row>
    <row r="18" spans="1:18" ht="116.25" customHeight="1" x14ac:dyDescent="0.2">
      <c r="A18" s="64">
        <v>45308</v>
      </c>
      <c r="B18" s="21" t="s">
        <v>99</v>
      </c>
      <c r="C18" s="22" t="s">
        <v>100</v>
      </c>
      <c r="D18" s="22" t="s">
        <v>101</v>
      </c>
      <c r="E18" s="53" t="s">
        <v>102</v>
      </c>
      <c r="F18" s="20">
        <v>45309</v>
      </c>
      <c r="G18" s="48" t="s">
        <v>21</v>
      </c>
      <c r="H18" s="20">
        <v>45308</v>
      </c>
      <c r="I18" s="31"/>
      <c r="J18" s="32"/>
      <c r="K18" s="33"/>
      <c r="L18" s="52">
        <v>780</v>
      </c>
      <c r="M18" s="30"/>
      <c r="N18" s="42" t="s">
        <v>28</v>
      </c>
      <c r="O18" s="31">
        <f t="shared" ca="1" si="0"/>
        <v>46099</v>
      </c>
      <c r="P18" s="43">
        <v>82</v>
      </c>
      <c r="Q18" s="35" t="s">
        <v>103</v>
      </c>
      <c r="R18" s="36" t="s">
        <v>104</v>
      </c>
    </row>
    <row r="19" spans="1:18" ht="37.5" customHeight="1" x14ac:dyDescent="0.2">
      <c r="A19" s="64">
        <v>45313</v>
      </c>
      <c r="B19" s="21" t="s">
        <v>105</v>
      </c>
      <c r="C19" s="22" t="s">
        <v>100</v>
      </c>
      <c r="D19" s="22" t="s">
        <v>106</v>
      </c>
      <c r="E19" s="53" t="s">
        <v>21</v>
      </c>
      <c r="F19" s="20">
        <v>45404</v>
      </c>
      <c r="G19" s="48"/>
      <c r="H19" s="20"/>
      <c r="I19" s="20"/>
      <c r="J19" s="23"/>
      <c r="K19" s="24"/>
      <c r="L19" s="25">
        <v>80</v>
      </c>
      <c r="M19" s="26"/>
      <c r="N19" s="27" t="s">
        <v>28</v>
      </c>
      <c r="O19" s="20">
        <v>45404</v>
      </c>
      <c r="P19" s="37"/>
      <c r="Q19" s="38" t="s">
        <v>107</v>
      </c>
      <c r="R19" s="22" t="s">
        <v>108</v>
      </c>
    </row>
    <row r="20" spans="1:18" ht="26.25" customHeight="1" x14ac:dyDescent="0.2">
      <c r="A20" s="65">
        <v>45316</v>
      </c>
      <c r="B20" s="49" t="s">
        <v>109</v>
      </c>
      <c r="C20" s="50"/>
      <c r="D20" s="70" t="s">
        <v>110</v>
      </c>
      <c r="E20" s="50" t="s">
        <v>21</v>
      </c>
      <c r="F20" s="48">
        <v>45331</v>
      </c>
      <c r="G20" s="48" t="s">
        <v>21</v>
      </c>
      <c r="H20" s="48">
        <v>45356</v>
      </c>
      <c r="I20" s="48"/>
      <c r="J20" s="6">
        <v>633.45000000000005</v>
      </c>
      <c r="K20" s="7"/>
      <c r="L20" s="8"/>
      <c r="M20" s="9"/>
      <c r="N20" s="51" t="s">
        <v>28</v>
      </c>
      <c r="O20" s="48">
        <f t="shared" ref="O20:O32" ca="1" si="1">TODAY()</f>
        <v>46099</v>
      </c>
      <c r="P20" s="28">
        <v>111</v>
      </c>
      <c r="Q20" s="50"/>
      <c r="R20" s="59" t="s">
        <v>111</v>
      </c>
    </row>
    <row r="21" spans="1:18" ht="27.75" customHeight="1" x14ac:dyDescent="0.2">
      <c r="A21" s="66">
        <v>45317</v>
      </c>
      <c r="B21" s="10" t="s">
        <v>112</v>
      </c>
      <c r="C21" s="2" t="s">
        <v>113</v>
      </c>
      <c r="D21" s="54"/>
      <c r="E21" s="2" t="s">
        <v>114</v>
      </c>
      <c r="F21" s="55"/>
      <c r="G21" s="48" t="s">
        <v>21</v>
      </c>
      <c r="H21" s="55"/>
      <c r="I21" s="3"/>
      <c r="J21" s="6"/>
      <c r="K21" s="7"/>
      <c r="L21" s="8"/>
      <c r="M21" s="9"/>
      <c r="N21" s="27" t="s">
        <v>28</v>
      </c>
      <c r="O21" s="3">
        <f t="shared" ca="1" si="1"/>
        <v>46099</v>
      </c>
      <c r="P21" s="14">
        <f ca="1">DATEDIF(A21,O21,"d")</f>
        <v>782</v>
      </c>
      <c r="Q21" s="2"/>
      <c r="R21" s="2" t="s">
        <v>115</v>
      </c>
    </row>
    <row r="22" spans="1:18" ht="51.75" customHeight="1" x14ac:dyDescent="0.25">
      <c r="A22" s="64">
        <v>45328</v>
      </c>
      <c r="B22" s="21" t="s">
        <v>116</v>
      </c>
      <c r="C22" s="22" t="s">
        <v>117</v>
      </c>
      <c r="D22" t="s">
        <v>118</v>
      </c>
      <c r="E22" s="22" t="s">
        <v>119</v>
      </c>
      <c r="F22" s="20">
        <v>45379</v>
      </c>
      <c r="G22" s="48" t="s">
        <v>21</v>
      </c>
      <c r="H22" s="20"/>
      <c r="I22" s="20"/>
      <c r="J22" s="23">
        <v>454.95</v>
      </c>
      <c r="K22" s="24"/>
      <c r="L22" s="25"/>
      <c r="M22" s="60"/>
      <c r="N22" s="27" t="s">
        <v>28</v>
      </c>
      <c r="O22" s="20">
        <f t="shared" ca="1" si="1"/>
        <v>46099</v>
      </c>
      <c r="P22" s="28">
        <f ca="1">DATEDIF(A22,O22,"d")</f>
        <v>771</v>
      </c>
      <c r="Q22" s="38" t="s">
        <v>120</v>
      </c>
      <c r="R22" s="29" t="s">
        <v>121</v>
      </c>
    </row>
    <row r="23" spans="1:18" x14ac:dyDescent="0.2">
      <c r="A23" s="64">
        <v>45363</v>
      </c>
      <c r="B23" s="20" t="s">
        <v>122</v>
      </c>
      <c r="C23" s="22" t="s">
        <v>76</v>
      </c>
      <c r="D23" s="22" t="s">
        <v>123</v>
      </c>
      <c r="E23" s="22"/>
      <c r="F23" s="45" t="s">
        <v>124</v>
      </c>
      <c r="G23" s="48" t="s">
        <v>21</v>
      </c>
      <c r="H23" s="20" t="s">
        <v>125</v>
      </c>
      <c r="I23" s="20"/>
      <c r="J23" s="23"/>
      <c r="K23" s="24"/>
      <c r="L23" s="25"/>
      <c r="M23" s="26"/>
      <c r="N23" s="27" t="s">
        <v>22</v>
      </c>
      <c r="O23" s="20">
        <f t="shared" ca="1" si="1"/>
        <v>46099</v>
      </c>
      <c r="P23" s="28">
        <f ca="1">DATEDIF(A23,O23,"d")</f>
        <v>736</v>
      </c>
      <c r="Q23" s="38" t="s">
        <v>126</v>
      </c>
      <c r="R23" s="41" t="s">
        <v>127</v>
      </c>
    </row>
    <row r="24" spans="1:18" ht="38.25" x14ac:dyDescent="0.2">
      <c r="A24" s="64">
        <v>45372</v>
      </c>
      <c r="B24" s="21" t="s">
        <v>128</v>
      </c>
      <c r="C24" s="22" t="s">
        <v>129</v>
      </c>
      <c r="D24" s="59" t="s">
        <v>130</v>
      </c>
      <c r="E24" s="22" t="s">
        <v>131</v>
      </c>
      <c r="F24" s="20">
        <v>45377</v>
      </c>
      <c r="G24" s="48"/>
      <c r="H24" s="20" t="s">
        <v>132</v>
      </c>
      <c r="I24" s="20"/>
      <c r="J24" s="23">
        <v>4710.5</v>
      </c>
      <c r="K24" s="24"/>
      <c r="L24" s="25"/>
      <c r="M24" s="26"/>
      <c r="N24" s="39" t="s">
        <v>28</v>
      </c>
      <c r="O24" s="20">
        <f t="shared" ca="1" si="1"/>
        <v>46099</v>
      </c>
      <c r="P24" s="28">
        <f ca="1">DATEDIF(A24,O24,"d")</f>
        <v>727</v>
      </c>
      <c r="Q24" s="38" t="s">
        <v>133</v>
      </c>
      <c r="R24" s="29" t="s">
        <v>134</v>
      </c>
    </row>
    <row r="25" spans="1:18" ht="63.75" customHeight="1" x14ac:dyDescent="0.25">
      <c r="A25" s="98">
        <v>45374</v>
      </c>
      <c r="B25" s="144" t="s">
        <v>135</v>
      </c>
      <c r="C25" s="99" t="s">
        <v>136</v>
      </c>
      <c r="D25" s="100" t="s">
        <v>137</v>
      </c>
      <c r="E25" s="99" t="s">
        <v>138</v>
      </c>
      <c r="F25" s="101">
        <v>45377</v>
      </c>
      <c r="G25" s="101" t="s">
        <v>139</v>
      </c>
      <c r="H25" s="101">
        <v>45378</v>
      </c>
      <c r="I25" s="101"/>
      <c r="J25" s="102"/>
      <c r="K25" s="102"/>
      <c r="L25" s="102"/>
      <c r="M25" s="102"/>
      <c r="N25" s="103" t="s">
        <v>22</v>
      </c>
      <c r="O25" s="101">
        <f t="shared" ca="1" si="1"/>
        <v>46099</v>
      </c>
      <c r="P25" s="99">
        <f ca="1">DATEDIF(A25,O25,"d")</f>
        <v>725</v>
      </c>
      <c r="Q25" s="104" t="s">
        <v>140</v>
      </c>
      <c r="R25" s="105" t="s">
        <v>141</v>
      </c>
    </row>
    <row r="26" spans="1:18" x14ac:dyDescent="0.2">
      <c r="A26" s="64">
        <v>45378</v>
      </c>
      <c r="B26" s="21"/>
      <c r="C26" s="22" t="s">
        <v>142</v>
      </c>
      <c r="D26" s="22"/>
      <c r="E26" s="22" t="s">
        <v>138</v>
      </c>
      <c r="F26" s="20"/>
      <c r="G26" s="48" t="s">
        <v>21</v>
      </c>
      <c r="H26" s="20"/>
      <c r="I26" s="20"/>
      <c r="J26" s="23"/>
      <c r="K26" s="24"/>
      <c r="L26" s="25">
        <v>500</v>
      </c>
      <c r="M26" s="26"/>
      <c r="N26" s="27" t="s">
        <v>28</v>
      </c>
      <c r="O26" s="20">
        <f t="shared" ca="1" si="1"/>
        <v>46099</v>
      </c>
      <c r="P26" s="28">
        <v>26</v>
      </c>
      <c r="Q26" s="38" t="s">
        <v>143</v>
      </c>
      <c r="R26" s="47" t="s">
        <v>144</v>
      </c>
    </row>
    <row r="27" spans="1:18" ht="144" customHeight="1" x14ac:dyDescent="0.2">
      <c r="A27" s="64">
        <v>45405</v>
      </c>
      <c r="B27" s="21" t="s">
        <v>145</v>
      </c>
      <c r="C27" s="29" t="s">
        <v>146</v>
      </c>
      <c r="D27" s="29" t="s">
        <v>147</v>
      </c>
      <c r="E27" s="58" t="s">
        <v>148</v>
      </c>
      <c r="F27" s="20">
        <v>45408</v>
      </c>
      <c r="G27" s="48" t="s">
        <v>21</v>
      </c>
      <c r="H27" s="20">
        <v>45448</v>
      </c>
      <c r="I27" s="20"/>
      <c r="J27" s="23" t="s">
        <v>149</v>
      </c>
      <c r="K27" s="24"/>
      <c r="L27" s="34">
        <v>1425</v>
      </c>
      <c r="M27" s="26"/>
      <c r="N27" s="27" t="s">
        <v>28</v>
      </c>
      <c r="O27" s="20">
        <f t="shared" ca="1" si="1"/>
        <v>46099</v>
      </c>
      <c r="P27" s="28">
        <f ca="1">DATEDIF(A27,O27,"d")</f>
        <v>694</v>
      </c>
      <c r="Q27" s="57" t="s">
        <v>150</v>
      </c>
      <c r="R27" s="29" t="s">
        <v>151</v>
      </c>
    </row>
    <row r="28" spans="1:18" ht="104.25" customHeight="1" x14ac:dyDescent="0.25">
      <c r="A28" s="64">
        <v>45416</v>
      </c>
      <c r="B28" s="21" t="s">
        <v>152</v>
      </c>
      <c r="C28" s="22" t="s">
        <v>153</v>
      </c>
      <c r="D28" t="s">
        <v>154</v>
      </c>
      <c r="E28" s="22" t="s">
        <v>138</v>
      </c>
      <c r="F28" s="20">
        <v>45418</v>
      </c>
      <c r="G28" s="20">
        <v>45427</v>
      </c>
      <c r="H28" s="20">
        <v>45427</v>
      </c>
      <c r="I28" s="20"/>
      <c r="J28" s="83">
        <v>9833.16</v>
      </c>
      <c r="K28" s="24"/>
      <c r="L28" s="25"/>
      <c r="M28" s="26"/>
      <c r="N28" s="27" t="s">
        <v>22</v>
      </c>
      <c r="O28" s="20">
        <f t="shared" ca="1" si="1"/>
        <v>46099</v>
      </c>
      <c r="P28" s="61">
        <f ca="1">DATEDIF(A28,O28,"d")</f>
        <v>683</v>
      </c>
      <c r="Q28" s="62" t="s">
        <v>155</v>
      </c>
      <c r="R28" s="4" t="s">
        <v>156</v>
      </c>
    </row>
    <row r="29" spans="1:18" s="114" customFormat="1" ht="38.25" x14ac:dyDescent="0.2">
      <c r="A29" s="106">
        <v>45427</v>
      </c>
      <c r="B29" s="107" t="s">
        <v>157</v>
      </c>
      <c r="C29" s="58" t="s">
        <v>158</v>
      </c>
      <c r="D29" s="58"/>
      <c r="E29" s="58" t="s">
        <v>138</v>
      </c>
      <c r="F29" s="108">
        <v>45435</v>
      </c>
      <c r="G29" s="109" t="s">
        <v>159</v>
      </c>
      <c r="H29" s="108"/>
      <c r="I29" s="108"/>
      <c r="J29" s="110"/>
      <c r="K29" s="110"/>
      <c r="L29" s="110"/>
      <c r="M29" s="110"/>
      <c r="N29" s="111" t="s">
        <v>22</v>
      </c>
      <c r="O29" s="108">
        <f t="shared" ca="1" si="1"/>
        <v>46099</v>
      </c>
      <c r="P29" s="112">
        <f t="shared" ref="P29" ca="1" si="2">DATEDIF(A29,O29,"d")</f>
        <v>672</v>
      </c>
      <c r="Q29" s="113" t="s">
        <v>160</v>
      </c>
      <c r="R29" s="58" t="s">
        <v>161</v>
      </c>
    </row>
    <row r="30" spans="1:18" ht="63.75" x14ac:dyDescent="0.2">
      <c r="A30" s="71">
        <v>45372</v>
      </c>
      <c r="B30" s="72" t="s">
        <v>162</v>
      </c>
      <c r="C30" s="22"/>
      <c r="D30" s="22" t="s">
        <v>163</v>
      </c>
      <c r="E30" s="22" t="s">
        <v>164</v>
      </c>
      <c r="F30" s="31">
        <v>45436</v>
      </c>
      <c r="G30" s="20"/>
      <c r="H30" s="20" t="s">
        <v>163</v>
      </c>
      <c r="I30" s="20"/>
      <c r="J30" s="23"/>
      <c r="K30" s="24"/>
      <c r="L30" s="25">
        <v>1413.66</v>
      </c>
      <c r="M30" s="26"/>
      <c r="N30" s="27" t="s">
        <v>22</v>
      </c>
      <c r="O30" s="20">
        <f t="shared" ca="1" si="1"/>
        <v>46099</v>
      </c>
      <c r="P30" s="61">
        <f t="shared" ref="P30:P52" ca="1" si="3">DATEDIF(A30,O30,"d")</f>
        <v>727</v>
      </c>
      <c r="Q30" s="62" t="s">
        <v>165</v>
      </c>
      <c r="R30" s="29" t="s">
        <v>166</v>
      </c>
    </row>
    <row r="31" spans="1:18" ht="25.5" x14ac:dyDescent="0.2">
      <c r="A31" s="64">
        <v>45441</v>
      </c>
      <c r="B31" s="21" t="s">
        <v>167</v>
      </c>
      <c r="C31" s="22" t="s">
        <v>168</v>
      </c>
      <c r="D31" s="22" t="s">
        <v>163</v>
      </c>
      <c r="E31" s="22" t="s">
        <v>138</v>
      </c>
      <c r="F31" s="20">
        <v>45443</v>
      </c>
      <c r="G31" s="73">
        <v>45443</v>
      </c>
      <c r="H31" s="20" t="s">
        <v>163</v>
      </c>
      <c r="I31" s="20"/>
      <c r="J31" s="23"/>
      <c r="K31" s="24"/>
      <c r="L31" s="25"/>
      <c r="M31" s="26">
        <v>50</v>
      </c>
      <c r="N31" s="27" t="s">
        <v>22</v>
      </c>
      <c r="O31" s="20">
        <f t="shared" ca="1" si="1"/>
        <v>46099</v>
      </c>
      <c r="P31" s="74">
        <f t="shared" ca="1" si="3"/>
        <v>658</v>
      </c>
      <c r="Q31" s="38" t="s">
        <v>169</v>
      </c>
      <c r="R31" s="29" t="s">
        <v>170</v>
      </c>
    </row>
    <row r="32" spans="1:18" ht="26.25" customHeight="1" x14ac:dyDescent="0.2">
      <c r="A32" s="64">
        <v>45444</v>
      </c>
      <c r="B32" s="21" t="s">
        <v>171</v>
      </c>
      <c r="C32" s="22" t="s">
        <v>172</v>
      </c>
      <c r="D32" s="22"/>
      <c r="E32" s="22" t="s">
        <v>173</v>
      </c>
      <c r="F32" s="20">
        <v>45446</v>
      </c>
      <c r="G32" s="20">
        <v>45446</v>
      </c>
      <c r="H32" s="44">
        <v>45496</v>
      </c>
      <c r="I32" s="20"/>
      <c r="J32" s="83">
        <v>15604.33</v>
      </c>
      <c r="K32" s="24"/>
      <c r="L32" s="25"/>
      <c r="M32" s="26"/>
      <c r="N32" s="27" t="s">
        <v>22</v>
      </c>
      <c r="O32" s="20">
        <f t="shared" ca="1" si="1"/>
        <v>46099</v>
      </c>
      <c r="P32" s="28">
        <f t="shared" ca="1" si="3"/>
        <v>655</v>
      </c>
      <c r="Q32" s="38" t="s">
        <v>174</v>
      </c>
      <c r="R32" s="22" t="s">
        <v>175</v>
      </c>
    </row>
    <row r="33" spans="1:18" ht="23.25" customHeight="1" x14ac:dyDescent="0.2">
      <c r="A33" s="64">
        <v>45460</v>
      </c>
      <c r="B33" s="21"/>
      <c r="C33" s="22" t="s">
        <v>172</v>
      </c>
      <c r="D33" s="22"/>
      <c r="E33" s="22" t="s">
        <v>138</v>
      </c>
      <c r="F33" s="20"/>
      <c r="G33" s="20"/>
      <c r="H33" s="20"/>
      <c r="I33" s="20"/>
      <c r="J33" s="23"/>
      <c r="K33" s="24"/>
      <c r="L33" s="25"/>
      <c r="M33" s="26">
        <v>120</v>
      </c>
      <c r="N33" s="27"/>
      <c r="O33" s="20">
        <v>45714</v>
      </c>
      <c r="P33" s="28">
        <f t="shared" si="3"/>
        <v>254</v>
      </c>
      <c r="Q33" s="38" t="s">
        <v>176</v>
      </c>
      <c r="R33" s="22"/>
    </row>
    <row r="34" spans="1:18" ht="102" customHeight="1" x14ac:dyDescent="0.2">
      <c r="A34" s="64">
        <v>45472</v>
      </c>
      <c r="B34" s="21" t="s">
        <v>177</v>
      </c>
      <c r="C34" s="22" t="s">
        <v>117</v>
      </c>
      <c r="D34" s="22" t="s">
        <v>178</v>
      </c>
      <c r="E34" s="22"/>
      <c r="F34" s="20"/>
      <c r="G34" s="20"/>
      <c r="H34" s="20"/>
      <c r="I34" s="20"/>
      <c r="J34" s="23"/>
      <c r="K34" s="24"/>
      <c r="L34" s="25"/>
      <c r="M34" s="26">
        <v>60</v>
      </c>
      <c r="N34" s="27" t="s">
        <v>22</v>
      </c>
      <c r="O34" s="20">
        <f t="shared" ref="O34:O63" ca="1" si="4">TODAY()</f>
        <v>46099</v>
      </c>
      <c r="P34" s="28">
        <f t="shared" ca="1" si="3"/>
        <v>627</v>
      </c>
      <c r="Q34" s="38"/>
      <c r="R34" s="22"/>
    </row>
    <row r="35" spans="1:18" ht="129" customHeight="1" x14ac:dyDescent="0.2">
      <c r="A35" s="64">
        <v>45458</v>
      </c>
      <c r="B35" s="21" t="s">
        <v>179</v>
      </c>
      <c r="C35" s="22" t="s">
        <v>180</v>
      </c>
      <c r="D35" s="76"/>
      <c r="E35" s="22" t="s">
        <v>181</v>
      </c>
      <c r="F35" s="20"/>
      <c r="G35" s="20"/>
      <c r="H35" s="20"/>
      <c r="I35" s="20"/>
      <c r="J35" s="23"/>
      <c r="K35" s="24"/>
      <c r="L35" s="25"/>
      <c r="M35" s="26"/>
      <c r="N35" s="27" t="s">
        <v>22</v>
      </c>
      <c r="O35" s="20">
        <f t="shared" ca="1" si="4"/>
        <v>46099</v>
      </c>
      <c r="P35" s="28">
        <f t="shared" ca="1" si="3"/>
        <v>641</v>
      </c>
      <c r="Q35" s="38"/>
      <c r="R35" s="29" t="s">
        <v>182</v>
      </c>
    </row>
    <row r="36" spans="1:18" ht="54" customHeight="1" x14ac:dyDescent="0.2">
      <c r="A36" s="64">
        <v>45474</v>
      </c>
      <c r="B36" s="21" t="s">
        <v>183</v>
      </c>
      <c r="C36" s="22" t="s">
        <v>184</v>
      </c>
      <c r="D36" s="22"/>
      <c r="E36" s="22"/>
      <c r="F36" s="20"/>
      <c r="G36" s="20"/>
      <c r="H36" s="20"/>
      <c r="I36" s="20"/>
      <c r="J36" s="23"/>
      <c r="K36" s="24"/>
      <c r="L36" s="25"/>
      <c r="M36" s="26"/>
      <c r="N36" s="27" t="s">
        <v>22</v>
      </c>
      <c r="O36" s="20">
        <f t="shared" ca="1" si="4"/>
        <v>46099</v>
      </c>
      <c r="P36" s="28">
        <f t="shared" ca="1" si="3"/>
        <v>625</v>
      </c>
      <c r="Q36" s="62" t="s">
        <v>185</v>
      </c>
      <c r="R36" s="22" t="s">
        <v>186</v>
      </c>
    </row>
    <row r="37" spans="1:18" ht="12" customHeight="1" x14ac:dyDescent="0.2">
      <c r="A37" s="64">
        <v>45478</v>
      </c>
      <c r="B37" s="21" t="s">
        <v>187</v>
      </c>
      <c r="C37" s="22" t="s">
        <v>180</v>
      </c>
      <c r="D37" s="22" t="s">
        <v>188</v>
      </c>
      <c r="E37" s="22" t="s">
        <v>188</v>
      </c>
      <c r="F37" s="20"/>
      <c r="G37" s="20"/>
      <c r="H37" s="20"/>
      <c r="I37" s="20"/>
      <c r="J37" s="23"/>
      <c r="K37" s="24"/>
      <c r="L37" s="25"/>
      <c r="M37" s="26"/>
      <c r="N37" s="27" t="s">
        <v>22</v>
      </c>
      <c r="O37" s="20">
        <f t="shared" ca="1" si="4"/>
        <v>46099</v>
      </c>
      <c r="P37" s="28">
        <f t="shared" ca="1" si="3"/>
        <v>621</v>
      </c>
      <c r="Q37" s="38"/>
      <c r="R37" s="22" t="s">
        <v>70</v>
      </c>
    </row>
    <row r="38" spans="1:18" ht="114.75" x14ac:dyDescent="0.2">
      <c r="A38" s="64">
        <v>45503</v>
      </c>
      <c r="B38" s="21" t="s">
        <v>189</v>
      </c>
      <c r="C38" s="29" t="s">
        <v>190</v>
      </c>
      <c r="D38" s="22" t="s">
        <v>191</v>
      </c>
      <c r="E38" s="22" t="s">
        <v>192</v>
      </c>
      <c r="F38" s="20"/>
      <c r="G38" s="20"/>
      <c r="H38" s="20" t="s">
        <v>193</v>
      </c>
      <c r="I38" s="20"/>
      <c r="J38" s="83">
        <v>2197</v>
      </c>
      <c r="K38" s="24"/>
      <c r="L38" s="25">
        <v>3000</v>
      </c>
      <c r="M38" s="26"/>
      <c r="N38" s="27" t="s">
        <v>22</v>
      </c>
      <c r="O38" s="20">
        <f t="shared" ca="1" si="4"/>
        <v>46099</v>
      </c>
      <c r="P38" s="28">
        <f t="shared" ca="1" si="3"/>
        <v>596</v>
      </c>
      <c r="Q38" s="62" t="s">
        <v>194</v>
      </c>
      <c r="R38" s="29" t="s">
        <v>195</v>
      </c>
    </row>
    <row r="39" spans="1:18" x14ac:dyDescent="0.2">
      <c r="A39" s="64" t="s">
        <v>196</v>
      </c>
      <c r="B39" s="21" t="s">
        <v>197</v>
      </c>
      <c r="C39" s="22" t="s">
        <v>198</v>
      </c>
      <c r="D39" s="27" t="s">
        <v>199</v>
      </c>
      <c r="E39" s="22"/>
      <c r="F39" s="20"/>
      <c r="G39" s="20"/>
      <c r="H39" s="20"/>
      <c r="I39" s="20"/>
      <c r="J39" s="81"/>
      <c r="K39" s="81"/>
      <c r="L39" s="81"/>
      <c r="M39" s="81"/>
      <c r="N39" s="27" t="s">
        <v>22</v>
      </c>
      <c r="O39" s="20">
        <f t="shared" ca="1" si="4"/>
        <v>46099</v>
      </c>
      <c r="P39" s="28" t="e">
        <f t="shared" ca="1" si="3"/>
        <v>#VALUE!</v>
      </c>
      <c r="Q39" s="38" t="s">
        <v>200</v>
      </c>
      <c r="R39" s="22" t="s">
        <v>201</v>
      </c>
    </row>
    <row r="40" spans="1:18" ht="26.25" x14ac:dyDescent="0.25">
      <c r="A40" s="64">
        <v>45506</v>
      </c>
      <c r="B40" s="21" t="s">
        <v>202</v>
      </c>
      <c r="C40" s="22" t="s">
        <v>100</v>
      </c>
      <c r="D40" t="s">
        <v>203</v>
      </c>
      <c r="E40" s="22" t="s">
        <v>138</v>
      </c>
      <c r="F40" s="20"/>
      <c r="G40" s="20"/>
      <c r="H40" s="20" t="s">
        <v>204</v>
      </c>
      <c r="I40" s="20"/>
      <c r="J40" s="83">
        <v>8941.17</v>
      </c>
      <c r="K40" s="24"/>
      <c r="L40" s="25"/>
      <c r="M40" s="26"/>
      <c r="N40" s="27" t="s">
        <v>22</v>
      </c>
      <c r="O40" s="20">
        <f t="shared" ca="1" si="4"/>
        <v>46099</v>
      </c>
      <c r="P40" s="28">
        <f t="shared" ca="1" si="3"/>
        <v>593</v>
      </c>
      <c r="Q40" s="62" t="s">
        <v>205</v>
      </c>
      <c r="R40" s="22" t="s">
        <v>206</v>
      </c>
    </row>
    <row r="41" spans="1:18" ht="56.25" customHeight="1" x14ac:dyDescent="0.2">
      <c r="A41" s="84">
        <v>45469</v>
      </c>
      <c r="B41" s="21" t="s">
        <v>207</v>
      </c>
      <c r="C41" s="95" t="s">
        <v>208</v>
      </c>
      <c r="D41" s="95" t="s">
        <v>209</v>
      </c>
      <c r="E41" s="86"/>
      <c r="F41" s="87"/>
      <c r="G41" s="87"/>
      <c r="H41" s="20">
        <v>45699</v>
      </c>
      <c r="I41" s="87"/>
      <c r="J41" s="88">
        <v>4085</v>
      </c>
      <c r="K41" s="89"/>
      <c r="L41" s="90"/>
      <c r="M41" s="91"/>
      <c r="N41" s="92" t="s">
        <v>22</v>
      </c>
      <c r="O41" s="20">
        <f t="shared" ca="1" si="4"/>
        <v>46099</v>
      </c>
      <c r="P41" s="28">
        <f t="shared" ca="1" si="3"/>
        <v>630</v>
      </c>
      <c r="Q41" s="93" t="s">
        <v>210</v>
      </c>
      <c r="R41" s="95" t="s">
        <v>211</v>
      </c>
    </row>
    <row r="42" spans="1:18" ht="56.25" customHeight="1" x14ac:dyDescent="0.2">
      <c r="A42" s="120">
        <v>45517</v>
      </c>
      <c r="B42" s="121" t="s">
        <v>212</v>
      </c>
      <c r="C42" s="122"/>
      <c r="D42" s="122">
        <v>25201909</v>
      </c>
      <c r="E42" s="123" t="s">
        <v>213</v>
      </c>
      <c r="F42" s="124">
        <v>45756</v>
      </c>
      <c r="G42" s="124"/>
      <c r="H42" s="124">
        <v>45755</v>
      </c>
      <c r="I42" s="124"/>
      <c r="J42" s="23">
        <v>17000</v>
      </c>
      <c r="K42" s="24"/>
      <c r="L42" s="25">
        <v>22000</v>
      </c>
      <c r="M42" s="26"/>
      <c r="N42" s="27"/>
      <c r="O42" s="20"/>
      <c r="P42" s="37"/>
      <c r="Q42" s="125" t="s">
        <v>214</v>
      </c>
      <c r="R42" s="122" t="s">
        <v>215</v>
      </c>
    </row>
    <row r="43" spans="1:18" ht="132.75" customHeight="1" x14ac:dyDescent="0.2">
      <c r="A43" s="64">
        <v>45530</v>
      </c>
      <c r="B43" s="21" t="s">
        <v>216</v>
      </c>
      <c r="C43" s="22" t="s">
        <v>38</v>
      </c>
      <c r="D43" s="22"/>
      <c r="E43" s="22" t="s">
        <v>217</v>
      </c>
      <c r="F43" s="20">
        <v>45532</v>
      </c>
      <c r="G43" s="20"/>
      <c r="H43" s="20"/>
      <c r="I43" s="20"/>
      <c r="J43" s="23"/>
      <c r="K43" s="24"/>
      <c r="L43" s="25"/>
      <c r="M43" s="26">
        <v>50</v>
      </c>
      <c r="N43" s="27" t="s">
        <v>22</v>
      </c>
      <c r="O43" s="20">
        <f t="shared" ca="1" si="4"/>
        <v>46099</v>
      </c>
      <c r="P43" s="28">
        <f t="shared" ca="1" si="3"/>
        <v>569</v>
      </c>
      <c r="Q43" s="62" t="s">
        <v>218</v>
      </c>
      <c r="R43" s="22" t="s">
        <v>219</v>
      </c>
    </row>
    <row r="44" spans="1:18" ht="78" customHeight="1" x14ac:dyDescent="0.2">
      <c r="A44" s="64">
        <v>45531</v>
      </c>
      <c r="B44" s="21" t="s">
        <v>220</v>
      </c>
      <c r="C44" s="22" t="s">
        <v>221</v>
      </c>
      <c r="D44" s="22"/>
      <c r="E44" s="22" t="s">
        <v>222</v>
      </c>
      <c r="F44" s="20"/>
      <c r="G44" s="20"/>
      <c r="H44" s="20"/>
      <c r="I44" s="20"/>
      <c r="J44" s="23"/>
      <c r="K44" s="24"/>
      <c r="L44" s="25"/>
      <c r="M44" s="26"/>
      <c r="N44" s="27" t="s">
        <v>22</v>
      </c>
      <c r="O44" s="20">
        <f t="shared" ca="1" si="4"/>
        <v>46099</v>
      </c>
      <c r="P44" s="28">
        <f t="shared" ca="1" si="3"/>
        <v>568</v>
      </c>
      <c r="Q44" s="62" t="s">
        <v>223</v>
      </c>
      <c r="R44" s="22" t="s">
        <v>224</v>
      </c>
    </row>
    <row r="45" spans="1:18" ht="37.5" customHeight="1" x14ac:dyDescent="0.2">
      <c r="A45" s="64">
        <v>45526</v>
      </c>
      <c r="B45" s="21" t="s">
        <v>225</v>
      </c>
      <c r="C45" s="22" t="s">
        <v>226</v>
      </c>
      <c r="D45" s="22">
        <v>24211965</v>
      </c>
      <c r="E45" s="22" t="s">
        <v>227</v>
      </c>
      <c r="F45" s="20"/>
      <c r="G45" s="20"/>
      <c r="H45" s="20">
        <v>45472</v>
      </c>
      <c r="I45" s="20"/>
      <c r="J45" s="83">
        <v>1591.81</v>
      </c>
      <c r="K45" s="24"/>
      <c r="L45" s="25"/>
      <c r="M45" s="26"/>
      <c r="N45" s="27" t="s">
        <v>28</v>
      </c>
      <c r="O45" s="20">
        <f t="shared" ca="1" si="4"/>
        <v>46099</v>
      </c>
      <c r="P45" s="28">
        <f t="shared" ca="1" si="3"/>
        <v>573</v>
      </c>
      <c r="Q45" s="62" t="s">
        <v>228</v>
      </c>
      <c r="R45" s="22" t="s">
        <v>229</v>
      </c>
    </row>
    <row r="46" spans="1:18" x14ac:dyDescent="0.2">
      <c r="A46" s="64">
        <v>45540</v>
      </c>
      <c r="B46" s="21" t="s">
        <v>230</v>
      </c>
      <c r="C46" s="22" t="s">
        <v>89</v>
      </c>
      <c r="D46" s="22"/>
      <c r="E46" s="22"/>
      <c r="F46" s="20">
        <v>45454</v>
      </c>
      <c r="G46" s="20"/>
      <c r="H46" s="20"/>
      <c r="I46" s="20"/>
      <c r="J46" s="23"/>
      <c r="K46" s="24"/>
      <c r="L46" s="25"/>
      <c r="M46" s="26"/>
      <c r="N46" s="27" t="s">
        <v>22</v>
      </c>
      <c r="O46" s="20">
        <f t="shared" ca="1" si="4"/>
        <v>46099</v>
      </c>
      <c r="P46" s="28">
        <f t="shared" ca="1" si="3"/>
        <v>559</v>
      </c>
      <c r="Q46" s="38" t="s">
        <v>231</v>
      </c>
      <c r="R46" s="22" t="s">
        <v>232</v>
      </c>
    </row>
    <row r="47" spans="1:18" ht="60" x14ac:dyDescent="0.2">
      <c r="A47" s="64">
        <v>45558</v>
      </c>
      <c r="B47" s="21"/>
      <c r="C47" s="22" t="s">
        <v>233</v>
      </c>
      <c r="D47" s="22"/>
      <c r="E47" s="22"/>
      <c r="F47" s="20"/>
      <c r="G47" s="20"/>
      <c r="H47" s="20"/>
      <c r="I47" s="20"/>
      <c r="J47" s="23"/>
      <c r="K47" s="24"/>
      <c r="L47" s="25">
        <v>1500</v>
      </c>
      <c r="M47" s="26"/>
      <c r="N47" s="27" t="s">
        <v>22</v>
      </c>
      <c r="O47" s="20">
        <f t="shared" ca="1" si="4"/>
        <v>46099</v>
      </c>
      <c r="P47" s="28">
        <f t="shared" ca="1" si="3"/>
        <v>541</v>
      </c>
      <c r="Q47" s="38" t="s">
        <v>55</v>
      </c>
      <c r="R47" s="82" t="s">
        <v>234</v>
      </c>
    </row>
    <row r="48" spans="1:18" x14ac:dyDescent="0.2">
      <c r="A48" s="64">
        <v>45587</v>
      </c>
      <c r="B48" s="21" t="s">
        <v>235</v>
      </c>
      <c r="C48" s="22" t="s">
        <v>236</v>
      </c>
      <c r="D48" s="22"/>
      <c r="E48" s="22"/>
      <c r="F48" s="20"/>
      <c r="G48" s="20"/>
      <c r="H48" s="20"/>
      <c r="I48" s="20"/>
      <c r="J48" s="23"/>
      <c r="K48" s="24"/>
      <c r="L48" s="25"/>
      <c r="M48" s="26"/>
      <c r="N48" s="27" t="s">
        <v>22</v>
      </c>
      <c r="O48" s="20">
        <f t="shared" ca="1" si="4"/>
        <v>46099</v>
      </c>
      <c r="P48" s="28">
        <f t="shared" ca="1" si="3"/>
        <v>512</v>
      </c>
      <c r="Q48" s="38"/>
      <c r="R48" s="22" t="s">
        <v>237</v>
      </c>
    </row>
    <row r="49" spans="1:18" x14ac:dyDescent="0.2">
      <c r="A49" s="71">
        <v>45590</v>
      </c>
      <c r="B49" s="72" t="s">
        <v>238</v>
      </c>
      <c r="C49" s="41" t="s">
        <v>239</v>
      </c>
      <c r="D49" s="22"/>
      <c r="E49" s="22"/>
      <c r="F49" s="20">
        <v>45636</v>
      </c>
      <c r="G49" s="20"/>
      <c r="H49" s="20">
        <v>45636</v>
      </c>
      <c r="I49" s="20"/>
      <c r="J49" s="23"/>
      <c r="K49" s="24"/>
      <c r="L49" s="25"/>
      <c r="M49" s="26"/>
      <c r="N49" s="27"/>
      <c r="O49" s="20">
        <f t="shared" ca="1" si="4"/>
        <v>46099</v>
      </c>
      <c r="P49" s="28">
        <f t="shared" ca="1" si="3"/>
        <v>509</v>
      </c>
      <c r="Q49" s="38" t="s">
        <v>240</v>
      </c>
      <c r="R49" s="22" t="s">
        <v>241</v>
      </c>
    </row>
    <row r="50" spans="1:18" ht="38.25" customHeight="1" x14ac:dyDescent="0.2">
      <c r="A50" s="65">
        <v>45593</v>
      </c>
      <c r="B50" s="49" t="s">
        <v>242</v>
      </c>
      <c r="C50" s="50" t="s">
        <v>243</v>
      </c>
      <c r="D50" s="50"/>
      <c r="E50" s="50"/>
      <c r="F50" s="48">
        <v>45594</v>
      </c>
      <c r="G50" s="48"/>
      <c r="H50" s="48">
        <v>45595</v>
      </c>
      <c r="I50" s="48"/>
      <c r="J50" s="23"/>
      <c r="K50" s="24"/>
      <c r="L50" s="25"/>
      <c r="M50" s="26"/>
      <c r="N50" s="27" t="s">
        <v>22</v>
      </c>
      <c r="O50" s="20">
        <f t="shared" ca="1" si="4"/>
        <v>46099</v>
      </c>
      <c r="P50" s="28">
        <f t="shared" ca="1" si="3"/>
        <v>506</v>
      </c>
      <c r="Q50" s="62" t="s">
        <v>244</v>
      </c>
      <c r="R50" s="22" t="s">
        <v>245</v>
      </c>
    </row>
    <row r="51" spans="1:18" ht="25.5" x14ac:dyDescent="0.2">
      <c r="A51" s="64">
        <v>45595</v>
      </c>
      <c r="B51" s="21" t="s">
        <v>246</v>
      </c>
      <c r="C51" s="22" t="s">
        <v>247</v>
      </c>
      <c r="D51" s="22"/>
      <c r="E51" s="22" t="s">
        <v>248</v>
      </c>
      <c r="F51" s="20">
        <v>45596</v>
      </c>
      <c r="G51" s="20"/>
      <c r="H51" s="20">
        <v>45596</v>
      </c>
      <c r="I51" s="20"/>
      <c r="J51" s="23"/>
      <c r="K51" s="24"/>
      <c r="L51" s="25"/>
      <c r="M51" s="26"/>
      <c r="N51" s="27"/>
      <c r="O51" s="20">
        <f t="shared" ca="1" si="4"/>
        <v>46099</v>
      </c>
      <c r="P51" s="28">
        <f t="shared" ca="1" si="3"/>
        <v>504</v>
      </c>
      <c r="Q51" s="62" t="s">
        <v>249</v>
      </c>
      <c r="R51" s="22"/>
    </row>
    <row r="52" spans="1:18" ht="41.25" customHeight="1" x14ac:dyDescent="0.2">
      <c r="A52" s="64">
        <v>45598</v>
      </c>
      <c r="B52" s="21" t="s">
        <v>250</v>
      </c>
      <c r="C52" s="22" t="s">
        <v>239</v>
      </c>
      <c r="D52" s="22"/>
      <c r="E52" s="22"/>
      <c r="F52" s="20">
        <v>45601</v>
      </c>
      <c r="G52" s="20">
        <v>45632</v>
      </c>
      <c r="H52" s="20"/>
      <c r="I52" s="20"/>
      <c r="J52" s="23"/>
      <c r="K52" s="24"/>
      <c r="L52" s="25"/>
      <c r="M52" s="26"/>
      <c r="N52" s="27"/>
      <c r="O52" s="20">
        <f t="shared" ca="1" si="4"/>
        <v>46099</v>
      </c>
      <c r="P52" s="28">
        <f t="shared" ca="1" si="3"/>
        <v>501</v>
      </c>
      <c r="Q52" s="38" t="s">
        <v>251</v>
      </c>
      <c r="R52" s="29" t="s">
        <v>252</v>
      </c>
    </row>
    <row r="53" spans="1:18" x14ac:dyDescent="0.2">
      <c r="A53" s="64"/>
      <c r="B53" s="21"/>
      <c r="C53" s="22"/>
      <c r="D53" s="22"/>
      <c r="E53" s="22"/>
      <c r="F53" s="20">
        <v>45601</v>
      </c>
      <c r="G53" s="20"/>
      <c r="H53" s="20"/>
      <c r="I53" s="20"/>
      <c r="J53" s="23"/>
      <c r="K53" s="24"/>
      <c r="L53" s="25"/>
      <c r="M53" s="26"/>
      <c r="N53" s="27"/>
      <c r="O53" s="20">
        <f t="shared" ca="1" si="4"/>
        <v>46099</v>
      </c>
      <c r="P53" s="28"/>
      <c r="Q53" s="38"/>
      <c r="R53" s="29"/>
    </row>
    <row r="54" spans="1:18" ht="15" x14ac:dyDescent="0.25">
      <c r="A54" s="64">
        <v>45596</v>
      </c>
      <c r="B54" s="21" t="s">
        <v>253</v>
      </c>
      <c r="C54" s="22" t="s">
        <v>254</v>
      </c>
      <c r="D54" t="s">
        <v>255</v>
      </c>
      <c r="E54"/>
      <c r="F54" s="20">
        <v>45597</v>
      </c>
      <c r="G54" s="20"/>
      <c r="H54" s="20"/>
      <c r="I54" s="20"/>
      <c r="J54" s="23"/>
      <c r="K54" s="24"/>
      <c r="L54" s="25"/>
      <c r="M54" s="26"/>
      <c r="N54" s="27"/>
      <c r="O54" s="20">
        <f t="shared" ca="1" si="4"/>
        <v>46099</v>
      </c>
      <c r="P54" s="28">
        <f t="shared" ref="P54:P68" ca="1" si="5">DATEDIF(A54,O54,"d")</f>
        <v>503</v>
      </c>
      <c r="Q54" s="94"/>
      <c r="R54" s="22" t="s">
        <v>256</v>
      </c>
    </row>
    <row r="55" spans="1:18" ht="42" customHeight="1" x14ac:dyDescent="0.2">
      <c r="A55" s="64">
        <v>45586</v>
      </c>
      <c r="B55" s="21" t="s">
        <v>257</v>
      </c>
      <c r="C55" s="22" t="s">
        <v>258</v>
      </c>
      <c r="D55" s="22"/>
      <c r="E55" s="22"/>
      <c r="F55" s="20">
        <v>45586</v>
      </c>
      <c r="G55" s="20"/>
      <c r="H55" s="20"/>
      <c r="I55" s="20"/>
      <c r="J55" s="23"/>
      <c r="K55" s="24"/>
      <c r="L55" s="25"/>
      <c r="M55" s="26"/>
      <c r="N55" s="27"/>
      <c r="O55" s="20">
        <f t="shared" ca="1" si="4"/>
        <v>46099</v>
      </c>
      <c r="P55" s="28">
        <f t="shared" ca="1" si="5"/>
        <v>513</v>
      </c>
      <c r="Q55" s="94" t="s">
        <v>259</v>
      </c>
      <c r="R55" s="22" t="s">
        <v>260</v>
      </c>
    </row>
    <row r="56" spans="1:18" ht="15" x14ac:dyDescent="0.2">
      <c r="A56" s="64">
        <v>45609</v>
      </c>
      <c r="B56" s="21" t="s">
        <v>261</v>
      </c>
      <c r="C56" s="22" t="s">
        <v>262</v>
      </c>
      <c r="D56" s="22"/>
      <c r="E56" s="22"/>
      <c r="F56" s="20">
        <v>45618</v>
      </c>
      <c r="G56" s="20">
        <v>45624</v>
      </c>
      <c r="H56" s="20"/>
      <c r="I56" s="20"/>
      <c r="J56" s="23"/>
      <c r="K56" s="24"/>
      <c r="L56" s="25"/>
      <c r="M56" s="96">
        <v>200</v>
      </c>
      <c r="N56" s="27" t="s">
        <v>22</v>
      </c>
      <c r="O56" s="20">
        <f t="shared" ca="1" si="4"/>
        <v>46099</v>
      </c>
      <c r="P56" s="28">
        <f t="shared" ca="1" si="5"/>
        <v>490</v>
      </c>
      <c r="Q56" s="94" t="s">
        <v>263</v>
      </c>
      <c r="R56" s="22" t="s">
        <v>264</v>
      </c>
    </row>
    <row r="57" spans="1:18" ht="25.5" x14ac:dyDescent="0.2">
      <c r="A57" s="64">
        <v>45631</v>
      </c>
      <c r="B57" s="21" t="s">
        <v>265</v>
      </c>
      <c r="C57" s="22" t="s">
        <v>266</v>
      </c>
      <c r="D57" s="22"/>
      <c r="E57" s="22"/>
      <c r="F57" s="20">
        <v>45632</v>
      </c>
      <c r="G57" s="20">
        <v>45632</v>
      </c>
      <c r="H57" s="20"/>
      <c r="I57" s="20"/>
      <c r="J57" s="23"/>
      <c r="K57" s="24"/>
      <c r="L57" s="25"/>
      <c r="M57" s="26"/>
      <c r="N57" s="27" t="s">
        <v>22</v>
      </c>
      <c r="O57" s="20">
        <f t="shared" ca="1" si="4"/>
        <v>46099</v>
      </c>
      <c r="P57" s="28">
        <f t="shared" ca="1" si="5"/>
        <v>468</v>
      </c>
      <c r="Q57" s="62" t="s">
        <v>267</v>
      </c>
      <c r="R57" s="22" t="s">
        <v>268</v>
      </c>
    </row>
    <row r="58" spans="1:18" ht="27" x14ac:dyDescent="0.3">
      <c r="A58" s="64">
        <v>45631</v>
      </c>
      <c r="B58" s="21" t="s">
        <v>269</v>
      </c>
      <c r="C58" s="22" t="s">
        <v>226</v>
      </c>
      <c r="D58" s="116">
        <v>224347008</v>
      </c>
      <c r="E58" s="22"/>
      <c r="F58" s="20">
        <v>45632</v>
      </c>
      <c r="G58" s="20">
        <v>45632</v>
      </c>
      <c r="H58" s="31" t="s">
        <v>270</v>
      </c>
      <c r="I58" s="20"/>
      <c r="J58" s="23"/>
      <c r="K58" s="24"/>
      <c r="L58" s="25"/>
      <c r="M58" s="26"/>
      <c r="N58" s="27" t="s">
        <v>22</v>
      </c>
      <c r="O58" s="20">
        <f t="shared" ca="1" si="4"/>
        <v>46099</v>
      </c>
      <c r="P58" s="28">
        <f t="shared" ca="1" si="5"/>
        <v>468</v>
      </c>
      <c r="Q58" s="62" t="s">
        <v>271</v>
      </c>
      <c r="R58" s="29" t="s">
        <v>272</v>
      </c>
    </row>
    <row r="59" spans="1:18" x14ac:dyDescent="0.2">
      <c r="A59" s="64">
        <v>45637</v>
      </c>
      <c r="B59" s="21" t="s">
        <v>273</v>
      </c>
      <c r="C59" s="22" t="s">
        <v>239</v>
      </c>
      <c r="D59" s="22"/>
      <c r="E59" s="22"/>
      <c r="F59" s="20">
        <v>45638</v>
      </c>
      <c r="G59" s="20">
        <v>45638</v>
      </c>
      <c r="H59" s="20">
        <v>45638</v>
      </c>
      <c r="I59" s="20"/>
      <c r="J59" s="23"/>
      <c r="K59" s="24"/>
      <c r="L59" s="25"/>
      <c r="M59" s="26"/>
      <c r="N59" s="27" t="s">
        <v>22</v>
      </c>
      <c r="O59" s="20">
        <f t="shared" ca="1" si="4"/>
        <v>46099</v>
      </c>
      <c r="P59" s="28">
        <f t="shared" ca="1" si="5"/>
        <v>462</v>
      </c>
      <c r="Q59" s="38" t="s">
        <v>274</v>
      </c>
      <c r="R59" s="22"/>
    </row>
    <row r="60" spans="1:18" x14ac:dyDescent="0.2">
      <c r="A60" s="64">
        <v>45642</v>
      </c>
      <c r="B60" s="85" t="s">
        <v>275</v>
      </c>
      <c r="C60" s="22" t="s">
        <v>276</v>
      </c>
      <c r="D60" s="22"/>
      <c r="E60" s="22"/>
      <c r="F60" s="20">
        <v>45642</v>
      </c>
      <c r="G60" s="20"/>
      <c r="H60" s="20"/>
      <c r="I60" s="20"/>
      <c r="J60" s="23"/>
      <c r="K60" s="24"/>
      <c r="L60" s="25"/>
      <c r="M60" s="26"/>
      <c r="N60" s="27" t="s">
        <v>22</v>
      </c>
      <c r="O60" s="20">
        <f t="shared" ca="1" si="4"/>
        <v>46099</v>
      </c>
      <c r="P60" s="117">
        <f t="shared" ca="1" si="5"/>
        <v>457</v>
      </c>
      <c r="Q60" s="38" t="s">
        <v>277</v>
      </c>
      <c r="R60" s="22"/>
    </row>
    <row r="61" spans="1:18" x14ac:dyDescent="0.2">
      <c r="A61" s="71">
        <v>45644</v>
      </c>
      <c r="B61" s="72" t="s">
        <v>278</v>
      </c>
      <c r="C61" s="22" t="s">
        <v>226</v>
      </c>
      <c r="D61" s="22"/>
      <c r="E61" s="22"/>
      <c r="F61" s="20">
        <v>45648</v>
      </c>
      <c r="G61" s="20">
        <v>45648</v>
      </c>
      <c r="H61" s="20">
        <v>45648</v>
      </c>
      <c r="I61" s="20"/>
      <c r="J61" s="23"/>
      <c r="K61" s="24"/>
      <c r="L61" s="25"/>
      <c r="M61" s="26"/>
      <c r="N61" s="27" t="s">
        <v>22</v>
      </c>
      <c r="O61" s="20">
        <f t="shared" ca="1" si="4"/>
        <v>46099</v>
      </c>
      <c r="P61" s="28">
        <f t="shared" ca="1" si="5"/>
        <v>455</v>
      </c>
      <c r="Q61" s="38" t="s">
        <v>279</v>
      </c>
      <c r="R61" s="22" t="s">
        <v>280</v>
      </c>
    </row>
    <row r="62" spans="1:18" s="97" customFormat="1" x14ac:dyDescent="0.2">
      <c r="A62" s="71">
        <v>45644</v>
      </c>
      <c r="B62" s="72" t="s">
        <v>281</v>
      </c>
      <c r="C62" s="86" t="s">
        <v>282</v>
      </c>
      <c r="D62" s="86">
        <v>224357011</v>
      </c>
      <c r="E62" s="86" t="s">
        <v>275</v>
      </c>
      <c r="F62" s="20">
        <v>45648</v>
      </c>
      <c r="G62" s="87" t="s">
        <v>275</v>
      </c>
      <c r="H62" s="20">
        <v>45648</v>
      </c>
      <c r="I62" s="87" t="s">
        <v>275</v>
      </c>
      <c r="J62" s="88" t="s">
        <v>275</v>
      </c>
      <c r="K62" s="89"/>
      <c r="L62" s="90"/>
      <c r="M62" s="91"/>
      <c r="N62" s="27" t="s">
        <v>22</v>
      </c>
      <c r="O62" s="20">
        <f t="shared" ca="1" si="4"/>
        <v>46099</v>
      </c>
      <c r="P62" s="28">
        <f t="shared" ca="1" si="5"/>
        <v>455</v>
      </c>
      <c r="Q62" s="38" t="s">
        <v>283</v>
      </c>
      <c r="R62" s="22" t="s">
        <v>280</v>
      </c>
    </row>
    <row r="63" spans="1:18" ht="52.5" customHeight="1" x14ac:dyDescent="0.3">
      <c r="A63" s="64">
        <v>45646</v>
      </c>
      <c r="B63" s="21" t="s">
        <v>284</v>
      </c>
      <c r="C63" s="22" t="s">
        <v>285</v>
      </c>
      <c r="D63" s="145">
        <v>2024016609</v>
      </c>
      <c r="E63" s="22" t="s">
        <v>286</v>
      </c>
      <c r="F63" s="20">
        <v>45649</v>
      </c>
      <c r="G63" s="20">
        <v>45649</v>
      </c>
      <c r="H63" s="20">
        <v>45649</v>
      </c>
      <c r="I63" s="20"/>
      <c r="J63" s="23"/>
      <c r="K63" s="24"/>
      <c r="L63" s="25"/>
      <c r="M63" s="26"/>
      <c r="N63" s="27" t="s">
        <v>28</v>
      </c>
      <c r="O63" s="20">
        <f t="shared" ca="1" si="4"/>
        <v>46099</v>
      </c>
      <c r="P63" s="28">
        <f t="shared" ca="1" si="5"/>
        <v>453</v>
      </c>
      <c r="Q63" s="62" t="s">
        <v>287</v>
      </c>
      <c r="R63" s="29" t="s">
        <v>288</v>
      </c>
    </row>
    <row r="64" spans="1:18" ht="25.5" x14ac:dyDescent="0.2">
      <c r="A64" s="64">
        <v>45686</v>
      </c>
      <c r="B64" s="21" t="s">
        <v>289</v>
      </c>
      <c r="C64" s="22" t="s">
        <v>290</v>
      </c>
      <c r="D64" s="22">
        <v>24210584</v>
      </c>
      <c r="E64" s="22" t="s">
        <v>196</v>
      </c>
      <c r="F64" s="20">
        <v>45699</v>
      </c>
      <c r="G64" s="20">
        <v>45699</v>
      </c>
      <c r="H64" s="20">
        <v>45699</v>
      </c>
      <c r="I64" s="20" t="s">
        <v>291</v>
      </c>
      <c r="J64" s="23"/>
      <c r="K64" s="24"/>
      <c r="L64" s="25"/>
      <c r="M64" s="26"/>
      <c r="N64" s="27" t="s">
        <v>28</v>
      </c>
      <c r="O64" s="20">
        <v>45701</v>
      </c>
      <c r="P64" s="28">
        <f t="shared" si="5"/>
        <v>15</v>
      </c>
      <c r="Q64" s="38" t="s">
        <v>292</v>
      </c>
      <c r="R64" s="29" t="s">
        <v>293</v>
      </c>
    </row>
    <row r="65" spans="1:18" ht="34.5" x14ac:dyDescent="0.3">
      <c r="A65" s="64">
        <v>45575</v>
      </c>
      <c r="B65" s="21">
        <v>45575</v>
      </c>
      <c r="C65" s="22" t="s">
        <v>294</v>
      </c>
      <c r="D65" s="22"/>
      <c r="E65" s="22"/>
      <c r="F65" s="20"/>
      <c r="G65" s="20"/>
      <c r="H65" s="20">
        <v>45699</v>
      </c>
      <c r="I65" s="20"/>
      <c r="J65" s="23"/>
      <c r="K65" s="24"/>
      <c r="L65" s="25"/>
      <c r="M65" s="26"/>
      <c r="N65" s="27" t="s">
        <v>22</v>
      </c>
      <c r="O65" s="20">
        <f t="shared" ref="O65:O70" ca="1" si="6">TODAY()</f>
        <v>46099</v>
      </c>
      <c r="P65" s="28">
        <f t="shared" ca="1" si="5"/>
        <v>524</v>
      </c>
      <c r="Q65" s="57" t="s">
        <v>295</v>
      </c>
      <c r="R65" s="115" t="s">
        <v>296</v>
      </c>
    </row>
    <row r="66" spans="1:18" x14ac:dyDescent="0.2">
      <c r="A66" s="64">
        <v>45668</v>
      </c>
      <c r="B66" s="21" t="s">
        <v>297</v>
      </c>
      <c r="C66" s="22" t="s">
        <v>76</v>
      </c>
      <c r="D66" s="22"/>
      <c r="E66" s="22"/>
      <c r="F66" s="20"/>
      <c r="G66" s="20"/>
      <c r="H66" s="20"/>
      <c r="I66" s="20"/>
      <c r="J66" s="23"/>
      <c r="K66" s="24"/>
      <c r="L66" s="25"/>
      <c r="M66" s="26"/>
      <c r="N66" s="27"/>
      <c r="O66" s="20"/>
      <c r="P66" s="37"/>
      <c r="Q66" s="62" t="s">
        <v>298</v>
      </c>
      <c r="R66" s="29" t="s">
        <v>299</v>
      </c>
    </row>
    <row r="67" spans="1:18" ht="27" x14ac:dyDescent="0.3">
      <c r="A67" s="64">
        <v>45712</v>
      </c>
      <c r="B67" s="21" t="s">
        <v>300</v>
      </c>
      <c r="C67" s="22" t="s">
        <v>301</v>
      </c>
      <c r="D67" s="145">
        <v>2025003841</v>
      </c>
      <c r="E67" s="22" t="s">
        <v>138</v>
      </c>
      <c r="F67" s="20">
        <v>45712</v>
      </c>
      <c r="G67" s="20">
        <v>45713</v>
      </c>
      <c r="H67" s="20">
        <v>45713</v>
      </c>
      <c r="I67" s="20"/>
      <c r="J67" s="23"/>
      <c r="K67" s="24"/>
      <c r="L67" s="25"/>
      <c r="M67" s="26"/>
      <c r="N67" s="27" t="s">
        <v>22</v>
      </c>
      <c r="O67" s="20">
        <f t="shared" ca="1" si="6"/>
        <v>46099</v>
      </c>
      <c r="P67" s="28">
        <f t="shared" ca="1" si="5"/>
        <v>387</v>
      </c>
      <c r="Q67" s="62" t="s">
        <v>302</v>
      </c>
      <c r="R67" s="22" t="s">
        <v>303</v>
      </c>
    </row>
    <row r="68" spans="1:18" ht="39" x14ac:dyDescent="0.25">
      <c r="A68" s="64">
        <v>45695</v>
      </c>
      <c r="B68" s="21" t="s">
        <v>304</v>
      </c>
      <c r="C68" s="22" t="s">
        <v>305</v>
      </c>
      <c r="D68" s="118"/>
      <c r="E68" s="118">
        <v>235142721</v>
      </c>
      <c r="F68" s="20">
        <v>45714</v>
      </c>
      <c r="G68" s="20"/>
      <c r="H68" s="20"/>
      <c r="I68" s="20"/>
      <c r="J68" s="23"/>
      <c r="K68" s="24"/>
      <c r="L68" s="25"/>
      <c r="M68" s="26">
        <v>40</v>
      </c>
      <c r="N68" s="27" t="s">
        <v>22</v>
      </c>
      <c r="O68" s="20">
        <f t="shared" ca="1" si="6"/>
        <v>46099</v>
      </c>
      <c r="P68" s="28">
        <f t="shared" ca="1" si="5"/>
        <v>404</v>
      </c>
      <c r="Q68" s="38" t="s">
        <v>306</v>
      </c>
      <c r="R68" s="29" t="s">
        <v>307</v>
      </c>
    </row>
    <row r="69" spans="1:18" ht="25.5" x14ac:dyDescent="0.2">
      <c r="A69" s="64">
        <v>45706</v>
      </c>
      <c r="B69" s="21" t="s">
        <v>308</v>
      </c>
      <c r="C69" s="22" t="s">
        <v>309</v>
      </c>
      <c r="D69" s="22" t="s">
        <v>310</v>
      </c>
      <c r="E69" s="22"/>
      <c r="F69" s="20">
        <v>45716</v>
      </c>
      <c r="G69" s="20"/>
      <c r="H69" s="20"/>
      <c r="I69" s="20"/>
      <c r="J69" s="23"/>
      <c r="K69" s="24"/>
      <c r="L69" s="25"/>
      <c r="M69" s="26"/>
      <c r="N69" s="27" t="s">
        <v>22</v>
      </c>
      <c r="O69" s="20">
        <f t="shared" ca="1" si="6"/>
        <v>46099</v>
      </c>
      <c r="P69" s="28">
        <f t="shared" ref="P69:P79" ca="1" si="7">DATEDIF(A69,O69,"d")</f>
        <v>393</v>
      </c>
      <c r="Q69" s="62" t="s">
        <v>311</v>
      </c>
      <c r="R69" s="22" t="s">
        <v>312</v>
      </c>
    </row>
    <row r="70" spans="1:18" x14ac:dyDescent="0.2">
      <c r="A70" s="64">
        <v>45720</v>
      </c>
      <c r="B70" s="64" t="s">
        <v>313</v>
      </c>
      <c r="C70" s="22" t="s">
        <v>314</v>
      </c>
      <c r="D70" s="22">
        <v>25201919</v>
      </c>
      <c r="E70" s="22"/>
      <c r="F70" s="20">
        <v>45720</v>
      </c>
      <c r="G70" s="20">
        <v>45721</v>
      </c>
      <c r="H70" s="20">
        <v>45755</v>
      </c>
      <c r="I70" s="20"/>
      <c r="J70" s="23"/>
      <c r="K70" s="24"/>
      <c r="L70" s="25"/>
      <c r="M70" s="26"/>
      <c r="N70" s="27" t="s">
        <v>22</v>
      </c>
      <c r="O70" s="20">
        <f t="shared" ca="1" si="6"/>
        <v>46099</v>
      </c>
      <c r="P70" s="28">
        <f t="shared" ca="1" si="7"/>
        <v>379</v>
      </c>
      <c r="Q70" s="38" t="s">
        <v>315</v>
      </c>
      <c r="R70" s="22" t="s">
        <v>316</v>
      </c>
    </row>
    <row r="71" spans="1:18" x14ac:dyDescent="0.2">
      <c r="A71" s="64">
        <v>45721</v>
      </c>
      <c r="B71" s="21" t="s">
        <v>317</v>
      </c>
      <c r="C71" s="22" t="s">
        <v>258</v>
      </c>
      <c r="D71" s="22"/>
      <c r="E71" s="22"/>
      <c r="F71" s="20">
        <v>45721</v>
      </c>
      <c r="G71" s="20">
        <v>45722</v>
      </c>
      <c r="H71" s="20"/>
      <c r="I71" s="20"/>
      <c r="J71" s="23"/>
      <c r="K71" s="24"/>
      <c r="L71" s="25"/>
      <c r="M71" s="26"/>
      <c r="N71" s="27" t="s">
        <v>22</v>
      </c>
      <c r="O71" s="20">
        <f t="shared" ref="O71:O79" ca="1" si="8">TODAY()</f>
        <v>46099</v>
      </c>
      <c r="P71" s="28">
        <f t="shared" ca="1" si="7"/>
        <v>378</v>
      </c>
      <c r="Q71" s="38" t="s">
        <v>315</v>
      </c>
      <c r="R71" s="22">
        <v>2</v>
      </c>
    </row>
    <row r="72" spans="1:18" x14ac:dyDescent="0.2">
      <c r="A72" s="64">
        <v>45728</v>
      </c>
      <c r="B72" s="21" t="s">
        <v>318</v>
      </c>
      <c r="C72" s="22" t="s">
        <v>319</v>
      </c>
      <c r="D72" s="22"/>
      <c r="E72" s="22"/>
      <c r="F72" s="20">
        <v>45729</v>
      </c>
      <c r="G72" s="20"/>
      <c r="H72" s="20"/>
      <c r="I72" s="20"/>
      <c r="J72" s="23"/>
      <c r="K72" s="24"/>
      <c r="L72" s="25"/>
      <c r="M72" s="26"/>
      <c r="N72" s="27" t="s">
        <v>22</v>
      </c>
      <c r="O72" s="20">
        <f t="shared" ca="1" si="8"/>
        <v>46099</v>
      </c>
      <c r="P72" s="28">
        <f t="shared" ca="1" si="7"/>
        <v>371</v>
      </c>
      <c r="Q72" s="38"/>
      <c r="R72" s="22" t="s">
        <v>320</v>
      </c>
    </row>
    <row r="73" spans="1:18" ht="15" x14ac:dyDescent="0.25">
      <c r="A73" s="64">
        <v>45713</v>
      </c>
      <c r="B73" s="21" t="s">
        <v>321</v>
      </c>
      <c r="C73" s="22" t="s">
        <v>322</v>
      </c>
      <c r="D73" s="22"/>
      <c r="E73" s="119">
        <v>235143994</v>
      </c>
      <c r="F73" s="20">
        <v>45735</v>
      </c>
      <c r="G73" s="20"/>
      <c r="H73" s="20"/>
      <c r="I73" s="20"/>
      <c r="J73" s="23"/>
      <c r="K73" s="24"/>
      <c r="L73" s="25"/>
      <c r="M73" s="26">
        <v>30</v>
      </c>
      <c r="N73" s="27" t="s">
        <v>22</v>
      </c>
      <c r="O73" s="20">
        <f t="shared" ca="1" si="8"/>
        <v>46099</v>
      </c>
      <c r="P73" s="28">
        <f t="shared" ca="1" si="7"/>
        <v>386</v>
      </c>
      <c r="Q73" s="38" t="s">
        <v>306</v>
      </c>
      <c r="R73" s="22"/>
    </row>
    <row r="74" spans="1:18" ht="15" x14ac:dyDescent="0.25">
      <c r="A74" s="64">
        <v>45728</v>
      </c>
      <c r="B74" s="21" t="s">
        <v>323</v>
      </c>
      <c r="C74" s="22" t="s">
        <v>324</v>
      </c>
      <c r="D74" s="22"/>
      <c r="E74" s="118">
        <v>235144589</v>
      </c>
      <c r="F74" s="20">
        <v>45749</v>
      </c>
      <c r="G74" s="20"/>
      <c r="H74" s="20"/>
      <c r="I74" s="20"/>
      <c r="J74" s="23"/>
      <c r="K74" s="24"/>
      <c r="L74" s="25"/>
      <c r="M74" s="26"/>
      <c r="N74" s="27" t="s">
        <v>22</v>
      </c>
      <c r="O74" s="20">
        <f t="shared" ca="1" si="8"/>
        <v>46099</v>
      </c>
      <c r="P74" s="28">
        <f t="shared" ca="1" si="7"/>
        <v>371</v>
      </c>
      <c r="Q74" s="38" t="s">
        <v>325</v>
      </c>
      <c r="R74" s="22"/>
    </row>
    <row r="75" spans="1:18" ht="31.5" customHeight="1" x14ac:dyDescent="0.25">
      <c r="A75" s="64">
        <v>45859</v>
      </c>
      <c r="B75" s="21" t="s">
        <v>326</v>
      </c>
      <c r="C75" s="22" t="s">
        <v>327</v>
      </c>
      <c r="D75" s="22" t="s">
        <v>328</v>
      </c>
      <c r="E75" s="137" t="s">
        <v>188</v>
      </c>
      <c r="F75" s="20">
        <v>45880</v>
      </c>
      <c r="G75" s="138" t="s">
        <v>329</v>
      </c>
      <c r="H75" s="20">
        <v>45880</v>
      </c>
      <c r="I75" s="20"/>
      <c r="J75" s="23"/>
      <c r="K75" s="24"/>
      <c r="L75" s="25"/>
      <c r="M75" s="26"/>
      <c r="N75" s="27" t="s">
        <v>22</v>
      </c>
      <c r="O75" s="20">
        <f t="shared" ca="1" si="8"/>
        <v>46099</v>
      </c>
      <c r="P75" s="28">
        <f t="shared" ca="1" si="7"/>
        <v>240</v>
      </c>
      <c r="Q75" s="62" t="s">
        <v>330</v>
      </c>
      <c r="R75" s="22" t="s">
        <v>331</v>
      </c>
    </row>
    <row r="76" spans="1:18" ht="25.5" x14ac:dyDescent="0.2">
      <c r="A76" s="126">
        <v>45877</v>
      </c>
      <c r="B76" s="127" t="s">
        <v>332</v>
      </c>
      <c r="C76" s="128" t="s">
        <v>76</v>
      </c>
      <c r="D76" s="29" t="s">
        <v>333</v>
      </c>
      <c r="E76" s="128" t="s">
        <v>188</v>
      </c>
      <c r="F76" s="20">
        <v>45880</v>
      </c>
      <c r="G76" s="129">
        <v>45877</v>
      </c>
      <c r="H76" s="129">
        <v>45899</v>
      </c>
      <c r="I76" s="129"/>
      <c r="J76" s="130"/>
      <c r="K76" s="131"/>
      <c r="L76" s="132"/>
      <c r="M76" s="133"/>
      <c r="N76" s="134" t="s">
        <v>22</v>
      </c>
      <c r="O76" s="20">
        <f t="shared" ca="1" si="8"/>
        <v>46099</v>
      </c>
      <c r="P76" s="28">
        <f t="shared" ca="1" si="7"/>
        <v>222</v>
      </c>
      <c r="Q76" s="135" t="s">
        <v>334</v>
      </c>
      <c r="R76" s="128" t="s">
        <v>335</v>
      </c>
    </row>
    <row r="77" spans="1:18" x14ac:dyDescent="0.2">
      <c r="A77" s="126">
        <v>45877</v>
      </c>
      <c r="B77" s="127" t="s">
        <v>336</v>
      </c>
      <c r="C77" s="128" t="s">
        <v>76</v>
      </c>
      <c r="D77" s="22" t="s">
        <v>337</v>
      </c>
      <c r="E77" s="22" t="s">
        <v>188</v>
      </c>
      <c r="F77" s="20">
        <v>45880</v>
      </c>
      <c r="G77" s="31" t="s">
        <v>338</v>
      </c>
      <c r="H77" s="20">
        <v>45880</v>
      </c>
      <c r="I77" s="20"/>
      <c r="J77" s="23"/>
      <c r="K77" s="24"/>
      <c r="L77" s="25"/>
      <c r="M77" s="26"/>
      <c r="N77" s="134" t="s">
        <v>22</v>
      </c>
      <c r="O77" s="20">
        <f t="shared" ca="1" si="8"/>
        <v>46099</v>
      </c>
      <c r="P77" s="28">
        <f t="shared" ca="1" si="7"/>
        <v>222</v>
      </c>
      <c r="Q77" s="38" t="s">
        <v>339</v>
      </c>
      <c r="R77" s="22" t="s">
        <v>340</v>
      </c>
    </row>
    <row r="78" spans="1:18" x14ac:dyDescent="0.2">
      <c r="A78" s="64">
        <v>45878</v>
      </c>
      <c r="B78" s="21" t="s">
        <v>341</v>
      </c>
      <c r="C78" s="22" t="s">
        <v>342</v>
      </c>
      <c r="D78" s="22" t="s">
        <v>343</v>
      </c>
      <c r="E78" s="22" t="s">
        <v>344</v>
      </c>
      <c r="F78" s="20">
        <v>45880</v>
      </c>
      <c r="G78" s="31" t="s">
        <v>345</v>
      </c>
      <c r="H78" s="20">
        <v>45891</v>
      </c>
      <c r="I78" s="20"/>
      <c r="J78" s="23"/>
      <c r="K78" s="24"/>
      <c r="L78" s="25"/>
      <c r="M78" s="26"/>
      <c r="N78" s="134" t="s">
        <v>22</v>
      </c>
      <c r="O78" s="20">
        <f t="shared" ca="1" si="8"/>
        <v>46099</v>
      </c>
      <c r="P78" s="28">
        <f t="shared" ca="1" si="7"/>
        <v>221</v>
      </c>
      <c r="Q78" s="38" t="s">
        <v>346</v>
      </c>
      <c r="R78" s="22" t="s">
        <v>347</v>
      </c>
    </row>
    <row r="79" spans="1:18" x14ac:dyDescent="0.2">
      <c r="A79" s="64">
        <v>45918</v>
      </c>
      <c r="B79" s="21" t="s">
        <v>348</v>
      </c>
      <c r="C79" s="128"/>
      <c r="D79" s="128"/>
      <c r="E79" s="128" t="s">
        <v>188</v>
      </c>
      <c r="F79" s="129">
        <v>45981</v>
      </c>
      <c r="G79" s="139" t="s">
        <v>349</v>
      </c>
      <c r="H79" s="129">
        <v>45981</v>
      </c>
      <c r="I79" s="129"/>
      <c r="J79" s="130"/>
      <c r="K79" s="131"/>
      <c r="L79" s="132"/>
      <c r="M79" s="133"/>
      <c r="N79" s="134" t="s">
        <v>22</v>
      </c>
      <c r="O79" s="20">
        <f t="shared" ca="1" si="8"/>
        <v>46099</v>
      </c>
      <c r="P79" s="28">
        <f t="shared" ca="1" si="7"/>
        <v>181</v>
      </c>
      <c r="Q79" s="135" t="s">
        <v>350</v>
      </c>
      <c r="R79" s="128"/>
    </row>
    <row r="80" spans="1:18" x14ac:dyDescent="0.2">
      <c r="A80" s="64">
        <v>45932</v>
      </c>
      <c r="B80" s="141" t="s">
        <v>351</v>
      </c>
      <c r="C80" s="128" t="s">
        <v>352</v>
      </c>
      <c r="D80" s="128" t="s">
        <v>353</v>
      </c>
      <c r="E80" s="128"/>
      <c r="F80" s="129"/>
      <c r="G80" s="129"/>
      <c r="H80" s="129"/>
      <c r="I80" s="129"/>
      <c r="J80" s="130"/>
      <c r="K80" s="131"/>
      <c r="L80" s="132"/>
      <c r="M80" s="133"/>
      <c r="N80" s="134"/>
      <c r="O80" s="129"/>
      <c r="P80" s="140"/>
      <c r="Q80" s="135" t="s">
        <v>354</v>
      </c>
      <c r="R80" s="128"/>
    </row>
    <row r="81" spans="1:18" x14ac:dyDescent="0.2">
      <c r="A81" s="64">
        <v>46038</v>
      </c>
      <c r="B81" s="21" t="s">
        <v>355</v>
      </c>
      <c r="C81" s="22" t="s">
        <v>356</v>
      </c>
      <c r="D81" s="22" t="s">
        <v>357</v>
      </c>
      <c r="E81" s="22" t="s">
        <v>188</v>
      </c>
      <c r="F81" s="20">
        <v>46084</v>
      </c>
      <c r="G81" s="20" t="s">
        <v>188</v>
      </c>
      <c r="H81" s="20">
        <v>46084</v>
      </c>
      <c r="I81" s="20"/>
      <c r="J81" s="23"/>
      <c r="K81" s="24"/>
      <c r="L81" s="25"/>
      <c r="M81" s="26"/>
      <c r="N81" s="27"/>
      <c r="O81" s="20"/>
      <c r="P81" s="37"/>
      <c r="Q81" s="38" t="s">
        <v>358</v>
      </c>
      <c r="R81" s="22" t="s">
        <v>359</v>
      </c>
    </row>
    <row r="82" spans="1:18" x14ac:dyDescent="0.2">
      <c r="A82" s="126">
        <v>46073</v>
      </c>
      <c r="B82" s="127" t="s">
        <v>360</v>
      </c>
      <c r="C82" s="128" t="s">
        <v>361</v>
      </c>
      <c r="D82" s="128"/>
      <c r="E82" s="128" t="s">
        <v>188</v>
      </c>
      <c r="F82" s="129">
        <v>46082</v>
      </c>
      <c r="G82" s="129" t="s">
        <v>349</v>
      </c>
      <c r="H82" s="129">
        <v>46082</v>
      </c>
      <c r="I82" s="129"/>
      <c r="J82" s="130"/>
      <c r="K82" s="131"/>
      <c r="L82" s="132"/>
      <c r="M82" s="133"/>
      <c r="N82" s="134"/>
      <c r="O82" s="129"/>
      <c r="P82" s="140"/>
      <c r="Q82" s="135" t="s">
        <v>362</v>
      </c>
      <c r="R82" s="128"/>
    </row>
    <row r="83" spans="1:18" x14ac:dyDescent="0.2">
      <c r="A83" s="126">
        <v>46011</v>
      </c>
      <c r="B83" s="141" t="s">
        <v>363</v>
      </c>
      <c r="C83" s="128" t="s">
        <v>364</v>
      </c>
      <c r="D83" s="128" t="s">
        <v>365</v>
      </c>
      <c r="E83" s="128"/>
      <c r="F83" s="129">
        <v>46092</v>
      </c>
      <c r="G83" s="129"/>
      <c r="H83" s="129"/>
      <c r="I83" s="129"/>
      <c r="J83" s="130"/>
      <c r="K83" s="131"/>
      <c r="L83" s="132"/>
      <c r="M83" s="133"/>
      <c r="N83" s="134"/>
      <c r="O83" s="129"/>
      <c r="P83" s="140"/>
      <c r="Q83" s="135" t="s">
        <v>366</v>
      </c>
      <c r="R83" s="128"/>
    </row>
    <row r="84" spans="1:18" ht="39" x14ac:dyDescent="0.25">
      <c r="A84" s="64">
        <v>46039</v>
      </c>
      <c r="B84" s="142" t="s">
        <v>367</v>
      </c>
      <c r="C84" s="99" t="s">
        <v>368</v>
      </c>
      <c r="D84" s="22" t="s">
        <v>369</v>
      </c>
      <c r="E84" s="136"/>
      <c r="F84" s="20"/>
      <c r="G84" s="20"/>
      <c r="H84" s="20" t="s">
        <v>70</v>
      </c>
      <c r="I84" s="20"/>
      <c r="J84" s="23"/>
      <c r="K84" s="24"/>
      <c r="L84" s="25"/>
      <c r="M84" s="26"/>
      <c r="N84" s="27"/>
      <c r="O84" s="20"/>
      <c r="P84" s="28"/>
      <c r="Q84" s="62" t="s">
        <v>370</v>
      </c>
      <c r="R84" s="22"/>
    </row>
    <row r="85" spans="1:18" ht="15" x14ac:dyDescent="0.25">
      <c r="A85" s="64"/>
      <c r="B85" s="21"/>
      <c r="C85" s="22"/>
      <c r="D85" s="22"/>
      <c r="E85" s="136"/>
      <c r="F85" s="20"/>
      <c r="G85" s="20"/>
      <c r="H85" s="20"/>
      <c r="I85" s="20"/>
      <c r="J85" s="23"/>
      <c r="K85" s="24"/>
      <c r="L85" s="25"/>
      <c r="M85" s="26"/>
      <c r="N85" s="27"/>
      <c r="O85" s="20"/>
      <c r="P85" s="28"/>
      <c r="Q85" s="38"/>
      <c r="R85" s="22"/>
    </row>
    <row r="86" spans="1:18" ht="15" x14ac:dyDescent="0.25">
      <c r="A86" s="64"/>
      <c r="B86" s="21"/>
      <c r="C86" s="22"/>
      <c r="D86" s="22"/>
      <c r="E86" s="136"/>
      <c r="F86" s="20"/>
      <c r="G86" s="20"/>
      <c r="H86" s="20"/>
      <c r="I86" s="20"/>
      <c r="J86" s="23"/>
      <c r="K86" s="24"/>
      <c r="L86" s="25"/>
      <c r="M86" s="26"/>
      <c r="N86" s="27"/>
      <c r="O86" s="20"/>
      <c r="P86" s="28"/>
      <c r="Q86" s="38"/>
      <c r="R86" s="22"/>
    </row>
    <row r="87" spans="1:18" ht="15" x14ac:dyDescent="0.25">
      <c r="A87" s="64"/>
      <c r="B87" s="21"/>
      <c r="C87" s="22"/>
      <c r="D87" s="22"/>
      <c r="E87" s="136"/>
      <c r="F87" s="20"/>
      <c r="G87" s="20"/>
      <c r="H87" s="20"/>
      <c r="I87" s="20"/>
      <c r="J87" s="23"/>
      <c r="K87" s="24"/>
      <c r="L87" s="25"/>
      <c r="M87" s="26"/>
      <c r="N87" s="27"/>
      <c r="O87" s="20"/>
      <c r="P87" s="28"/>
      <c r="Q87" s="38"/>
      <c r="R87" s="22"/>
    </row>
  </sheetData>
  <sortState xmlns:xlrd2="http://schemas.microsoft.com/office/spreadsheetml/2017/richdata2" ref="A2:R75">
    <sortCondition ref="A1:A75"/>
  </sortState>
  <phoneticPr fontId="2" type="noConversion"/>
  <pageMargins left="0.7" right="0.7" top="0.78740157499999996" bottom="0.78740157499999996" header="0.3" footer="0.3"/>
  <pageSetup paperSize="9"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Unfall Tracking</vt:lpstr>
      <vt:lpstr>'Unfall Tracking'!Druckbereich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dc:creator>
  <cp:keywords/>
  <dc:description/>
  <cp:lastModifiedBy>Sergejs Koroluks</cp:lastModifiedBy>
  <cp:revision/>
  <dcterms:created xsi:type="dcterms:W3CDTF">2023-10-30T12:06:41Z</dcterms:created>
  <dcterms:modified xsi:type="dcterms:W3CDTF">2026-03-18T08:14:09Z</dcterms:modified>
  <cp:category/>
  <cp:contentStatus/>
</cp:coreProperties>
</file>